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01_no_leverage" sheetId="2" state="visible" r:id="rId2"/>
    <sheet name="02_single_bullet" sheetId="3" state="visible" r:id="rId3"/>
    <sheet name="03_single_sweep" sheetId="4" state="visible" r:id="rId4"/>
    <sheet name="04_amortising" sheetId="5" state="visible" r:id="rId5"/>
    <sheet name="05_fees_only" sheetId="6" state="visible" r:id="rId6"/>
    <sheet name="06_fees_on_debt" sheetId="7" state="visible" r:id="rId7"/>
    <sheet name="07_percentage_structure" sheetId="8" state="visible" r:id="rId8"/>
    <sheet name="08_finding_11" sheetId="9" state="visible" r:id="rId9"/>
    <sheet name="09_sonia_floor" sheetId="10" state="visible" r:id="rId10"/>
    <sheet name="10_pik" sheetId="11" state="visible" r:id="rId11"/>
    <sheet name="11_unitranche_half_sweep" sheetId="12" state="visible" r:id="rId12"/>
    <sheet name="12_two_tranche_waterfall" sheetId="13" state="visible" r:id="rId13"/>
    <sheet name="13_revolver" sheetId="14" state="visible" r:id="rId14"/>
    <sheet name="14_interest_cap" sheetId="15" state="visible" r:id="rId15"/>
    <sheet name="15_interest_cap_used" sheetId="16" state="visible" r:id="rId16"/>
    <sheet name="16_tax_losses" sheetId="17" state="visible" r:id="rId17"/>
    <sheet name="17_loss_limit" sheetId="18" state="visible" r:id="rId18"/>
    <sheet name="18_minimum_tax" sheetId="19" state="visible" r:id="rId19"/>
    <sheet name="19_ifrs16_post" sheetId="20" state="visible" r:id="rId20"/>
    <sheet name="20_ifrs16_pre" sheetId="21" state="visible" r:id="rId21"/>
    <sheet name="21_euro_thousands" sheetId="22" state="visible" r:id="rId22"/>
    <sheet name="22_march_year_end_yen" sheetId="23" state="visible" r:id="rId23"/>
    <sheet name="23_growth_working_capital_days" sheetId="24" state="visible" r:id="rId24"/>
    <sheet name="24_minimum_cash" sheetId="25" state="visible" r:id="rId25"/>
    <sheet name="25_one_year_hold" sheetId="26" state="visible" r:id="rId26"/>
    <sheet name="26_shared_sweep" sheetId="27" state="visible" r:id="rId27"/>
  </sheets>
  <definedNames/>
  <calcPr calcId="124519" fullCalcOnLoad="1"/>
</workbook>
</file>

<file path=xl/styles.xml><?xml version="1.0" encoding="utf-8"?>
<styleSheet xmlns="http://schemas.openxmlformats.org/spreadsheetml/2006/main">
  <numFmts count="3">
    <numFmt numFmtId="164" formatCode="#,##0.0000"/>
    <numFmt numFmtId="165" formatCode="0.0000&quot;x&quot;"/>
    <numFmt numFmtId="166" formatCode="0.0000%"/>
  </numFmts>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5" customWidth="1" min="1" max="1"/>
    <col width="62" customWidth="1" min="2" max="2"/>
    <col width="40" customWidth="1" min="3" max="3"/>
    <col width="16" customWidth="1" min="4" max="4"/>
    <col width="32" customWidth="1" min="5" max="5"/>
  </cols>
  <sheetData>
    <row r="1">
      <c r="A1" s="1" t="inlineStr">
        <is>
          <t>Variater: hand-checked reference cases (PLAN.md 3.4)</t>
        </is>
      </c>
    </row>
    <row r="2" ht="60" customHeight="1">
      <c r="A2" s="2" t="inlineStr">
        <is>
          <t>Small deals worked out by hand from docs/methodology.md. Each sheet's formulas are the working; tests/test_reference_cases.py requires the engine to match every line with an engine figure to 0.01 (money in the deal's unit, IRR and rates in per cent). Regenerate with: python -m tests.reference.workbook</t>
        </is>
      </c>
    </row>
    <row r="4">
      <c r="A4" s="3" t="inlineStr">
        <is>
          <t>#</t>
        </is>
      </c>
      <c r="B4" s="3" t="inlineStr">
        <is>
          <t>Case</t>
        </is>
      </c>
      <c r="C4" s="3" t="inlineStr">
        <is>
          <t>Covers</t>
        </is>
      </c>
      <c r="D4" s="3" t="inlineStr">
        <is>
          <t>Figures checked</t>
        </is>
      </c>
      <c r="E4" s="3" t="inlineStr">
        <is>
          <t>Sheet</t>
        </is>
      </c>
    </row>
    <row r="5">
      <c r="A5" t="n">
        <v>1</v>
      </c>
      <c r="B5" t="inlineStr">
        <is>
          <t>No leverage</t>
        </is>
      </c>
      <c r="C5" t="inlineStr">
        <is>
          <t>no leverage, zero growth</t>
        </is>
      </c>
      <c r="D5" t="n">
        <v>44</v>
      </c>
      <c r="E5">
        <f>HYPERLINK("#'01_no_leverage'!A1", "01_no_leverage")</f>
        <v/>
      </c>
    </row>
    <row r="6">
      <c r="A6" t="n">
        <v>2</v>
      </c>
      <c r="B6" t="inlineStr">
        <is>
          <t>One tranche, no sweep</t>
        </is>
      </c>
      <c r="C6" t="inlineStr">
        <is>
          <t>single tranche, zero growth</t>
        </is>
      </c>
      <c r="D6" t="n">
        <v>42</v>
      </c>
      <c r="E6">
        <f>HYPERLINK("#'02_single_bullet'!A1", "02_single_bullet")</f>
        <v/>
      </c>
    </row>
    <row r="7">
      <c r="A7" t="n">
        <v>3</v>
      </c>
      <c r="B7" t="inlineStr">
        <is>
          <t>One tranche, full cash sweep</t>
        </is>
      </c>
      <c r="C7" t="inlineStr">
        <is>
          <t>single tranche, zero growth</t>
        </is>
      </c>
      <c r="D7" t="n">
        <v>51</v>
      </c>
      <c r="E7">
        <f>HYPERLINK("#'03_single_sweep'!A1", "03_single_sweep")</f>
        <v/>
      </c>
    </row>
    <row r="8">
      <c r="A8" t="n">
        <v>4</v>
      </c>
      <c r="B8" t="inlineStr">
        <is>
          <t>Amortising term loan, no sweep</t>
        </is>
      </c>
      <c r="C8" t="inlineStr">
        <is>
          <t>single tranche, zero growth</t>
        </is>
      </c>
      <c r="D8" t="n">
        <v>48</v>
      </c>
      <c r="E8">
        <f>HYPERLINK("#'04_amortising'!A1", "04_amortising")</f>
        <v/>
      </c>
    </row>
    <row r="9">
      <c r="A9" t="n">
        <v>5</v>
      </c>
      <c r="B9" t="inlineStr">
        <is>
          <t>Fees only, no debt</t>
        </is>
      </c>
      <c r="C9" t="inlineStr">
        <is>
          <t>fees only, no leverage</t>
        </is>
      </c>
      <c r="D9" t="n">
        <v>42</v>
      </c>
      <c r="E9">
        <f>HYPERLINK("#'05_fees_only'!A1", "05_fees_only")</f>
        <v/>
      </c>
    </row>
    <row r="10">
      <c r="A10" t="n">
        <v>6</v>
      </c>
      <c r="B10" t="inlineStr">
        <is>
          <t>Transaction, financing and arrangement fees</t>
        </is>
      </c>
      <c r="C10" t="inlineStr">
        <is>
          <t>fees only</t>
        </is>
      </c>
      <c r="D10" t="n">
        <v>42</v>
      </c>
      <c r="E10">
        <f>HYPERLINK("#'06_fees_on_debt'!A1", "06_fees_on_debt")</f>
        <v/>
      </c>
    </row>
    <row r="11">
      <c r="A11" t="n">
        <v>7</v>
      </c>
      <c r="B11" t="inlineStr">
        <is>
          <t>Debt sized as a share of EV</t>
        </is>
      </c>
      <c r="C11" t="inlineStr">
        <is>
          <t>single tranche, zero growth</t>
        </is>
      </c>
      <c r="D11" t="n">
        <v>51</v>
      </c>
      <c r="E11">
        <f>HYPERLINK("#'07_percentage_structure'!A1", "07_percentage_structure")</f>
        <v/>
      </c>
    </row>
    <row r="12">
      <c r="A12" t="n">
        <v>8</v>
      </c>
      <c r="B12" t="inlineStr">
        <is>
          <t>Known difference: a bullet the cash can't pay (finding 11)</t>
        </is>
      </c>
      <c r="C12" t="inlineStr">
        <is>
          <t>open finding</t>
        </is>
      </c>
      <c r="D12" t="n">
        <v>38</v>
      </c>
      <c r="E12">
        <f>HYPERLINK("#'08_finding_11'!A1", "08_finding_11")</f>
        <v/>
      </c>
    </row>
    <row r="13">
      <c r="A13" t="n">
        <v>9</v>
      </c>
      <c r="B13" t="inlineStr">
        <is>
          <t>Floating SONIA loan with a floor (sterling)</t>
        </is>
      </c>
      <c r="C13" t="inlineStr">
        <is>
          <t>floating with floor, non-USD</t>
        </is>
      </c>
      <c r="D13" t="n">
        <v>42</v>
      </c>
      <c r="E13">
        <f>HYPERLINK("#'09_sonia_floor'!A1", "09_sonia_floor")</f>
        <v/>
      </c>
    </row>
    <row r="14">
      <c r="A14" t="n">
        <v>10</v>
      </c>
      <c r="B14" t="inlineStr">
        <is>
          <t>PIK note</t>
        </is>
      </c>
      <c r="C14" t="inlineStr">
        <is>
          <t>PIK</t>
        </is>
      </c>
      <c r="D14" t="n">
        <v>48</v>
      </c>
      <c r="E14">
        <f>HYPERLINK("#'10_pik'!A1", "10_pik")</f>
        <v/>
      </c>
    </row>
    <row r="15">
      <c r="A15" t="n">
        <v>11</v>
      </c>
      <c r="B15" t="inlineStr">
        <is>
          <t>Unitranche taking half the sweep</t>
        </is>
      </c>
      <c r="C15" t="inlineStr">
        <is>
          <t>unitranche</t>
        </is>
      </c>
      <c r="D15" t="n">
        <v>51</v>
      </c>
      <c r="E15">
        <f>HYPERLINK("#'11_unitranche_half_sweep'!A1", "11_unitranche_half_sweep")</f>
        <v/>
      </c>
    </row>
    <row r="16">
      <c r="A16" t="n">
        <v>12</v>
      </c>
      <c r="B16" t="inlineStr">
        <is>
          <t>Two tranches in sweep order</t>
        </is>
      </c>
      <c r="C16" t="inlineStr">
        <is>
          <t>single tranche</t>
        </is>
      </c>
      <c r="D16" t="n">
        <v>51</v>
      </c>
      <c r="E16">
        <f>HYPERLINK("#'12_two_tranche_waterfall'!A1", "12_two_tranche_waterfall")</f>
        <v/>
      </c>
    </row>
    <row r="17">
      <c r="A17" t="n">
        <v>13</v>
      </c>
      <c r="B17" t="inlineStr">
        <is>
          <t>Revolver funding a repayment</t>
        </is>
      </c>
      <c r="C17" t="inlineStr">
        <is>
          <t>single tranche</t>
        </is>
      </c>
      <c r="D17" t="n">
        <v>36</v>
      </c>
      <c r="E17">
        <f>HYPERLINK("#'13_revolver'!A1", "13_revolver")</f>
        <v/>
      </c>
    </row>
    <row r="18">
      <c r="A18" t="n">
        <v>14</v>
      </c>
      <c r="B18" t="inlineStr">
        <is>
          <t>Interest capped at 30% of EBITDA</t>
        </is>
      </c>
      <c r="C18" t="inlineStr">
        <is>
          <t>interest cap</t>
        </is>
      </c>
      <c r="D18" t="n">
        <v>45</v>
      </c>
      <c r="E18">
        <f>HYPERLINK("#'14_interest_cap'!A1", "14_interest_cap")</f>
        <v/>
      </c>
    </row>
    <row r="19">
      <c r="A19" t="n">
        <v>15</v>
      </c>
      <c r="B19" t="inlineStr">
        <is>
          <t>Fixed interest cap, carried interest used later</t>
        </is>
      </c>
      <c r="C19" t="inlineStr">
        <is>
          <t>interest cap</t>
        </is>
      </c>
      <c r="D19" t="n">
        <v>48</v>
      </c>
      <c r="E19">
        <f>HYPERLINK("#'15_interest_cap_used'!A1", "15_interest_cap_used")</f>
        <v/>
      </c>
    </row>
    <row r="20">
      <c r="A20" t="n">
        <v>16</v>
      </c>
      <c r="B20" t="inlineStr">
        <is>
          <t>Tax loss carried forward</t>
        </is>
      </c>
      <c r="C20" t="inlineStr">
        <is>
          <t>tax losses</t>
        </is>
      </c>
      <c r="D20" t="n">
        <v>51</v>
      </c>
      <c r="E20">
        <f>HYPERLINK("#'16_tax_losses'!A1", "16_tax_losses")</f>
        <v/>
      </c>
    </row>
    <row r="21">
      <c r="A21" t="n">
        <v>17</v>
      </c>
      <c r="B21" t="inlineStr">
        <is>
          <t>Loss relief limited to an allowance plus 60%</t>
        </is>
      </c>
      <c r="C21" t="inlineStr">
        <is>
          <t>tax losses</t>
        </is>
      </c>
      <c r="D21" t="n">
        <v>51</v>
      </c>
      <c r="E21">
        <f>HYPERLINK("#'17_loss_limit'!A1", "17_loss_limit")</f>
        <v/>
      </c>
    </row>
    <row r="22">
      <c r="A22" t="n">
        <v>18</v>
      </c>
      <c r="B22" t="inlineStr">
        <is>
          <t>Minimum tax above a low rate</t>
        </is>
      </c>
      <c r="C22" t="inlineStr">
        <is>
          <t>tax losses</t>
        </is>
      </c>
      <c r="D22" t="n">
        <v>45</v>
      </c>
      <c r="E22">
        <f>HYPERLINK("#'18_minimum_tax'!A1", "18_minimum_tax")</f>
        <v/>
      </c>
    </row>
    <row r="23">
      <c r="A23" t="n">
        <v>19</v>
      </c>
      <c r="B23" t="inlineStr">
        <is>
          <t>IFRS 16: leases as debt</t>
        </is>
      </c>
      <c r="C23" t="inlineStr">
        <is>
          <t>IFRS 16</t>
        </is>
      </c>
      <c r="D23" t="n">
        <v>44</v>
      </c>
      <c r="E23">
        <f>HYPERLINK("#'19_ifrs16_post'!A1", "19_ifrs16_post")</f>
        <v/>
      </c>
    </row>
    <row r="24">
      <c r="A24" t="n">
        <v>20</v>
      </c>
      <c r="B24" t="inlineStr">
        <is>
          <t>IFRS 16 reporter valued pre-IFRS 16</t>
        </is>
      </c>
      <c r="C24" t="inlineStr">
        <is>
          <t>IFRS 16</t>
        </is>
      </c>
      <c r="D24" t="n">
        <v>42</v>
      </c>
      <c r="E24">
        <f>HYPERLINK("#'20_ifrs16_pre'!A1", "20_ifrs16_pre")</f>
        <v/>
      </c>
    </row>
    <row r="25">
      <c r="A25" t="n">
        <v>21</v>
      </c>
      <c r="B25" t="inlineStr">
        <is>
          <t>Euro deal counted in thousands</t>
        </is>
      </c>
      <c r="C25" t="inlineStr">
        <is>
          <t>non-USD</t>
        </is>
      </c>
      <c r="D25" t="n">
        <v>42</v>
      </c>
      <c r="E25">
        <f>HYPERLINK("#'21_euro_thousands'!A1", "21_euro_thousands")</f>
        <v/>
      </c>
    </row>
    <row r="26">
      <c r="A26" t="n">
        <v>22</v>
      </c>
      <c r="B26" t="inlineStr">
        <is>
          <t>Yen deal in billions, March year-end, negative reference rate</t>
        </is>
      </c>
      <c r="C26" t="inlineStr">
        <is>
          <t>March year-end, non-USD, floating with floor</t>
        </is>
      </c>
      <c r="D26" t="n">
        <v>43</v>
      </c>
      <c r="E26">
        <f>HYPERLINK("#'22_march_year_end_yen'!A1", "22_march_year_end_yen")</f>
        <v/>
      </c>
    </row>
    <row r="27">
      <c r="A27" t="n">
        <v>23</v>
      </c>
      <c r="B27" t="inlineStr">
        <is>
          <t>Growth with working capital in days</t>
        </is>
      </c>
      <c r="C27" t="inlineStr">
        <is>
          <t>single tranche</t>
        </is>
      </c>
      <c r="D27" t="n">
        <v>42</v>
      </c>
      <c r="E27">
        <f>HYPERLINK("#'23_growth_working_capital_days'!A1", "23_growth_working_capital_days")</f>
        <v/>
      </c>
    </row>
    <row r="28">
      <c r="A28" t="n">
        <v>24</v>
      </c>
      <c r="B28" t="inlineStr">
        <is>
          <t>Minimum cash funded at close</t>
        </is>
      </c>
      <c r="C28" t="inlineStr">
        <is>
          <t>single tranche</t>
        </is>
      </c>
      <c r="D28" t="n">
        <v>44</v>
      </c>
      <c r="E28">
        <f>HYPERLINK("#'24_minimum_cash'!A1", "24_minimum_cash")</f>
        <v/>
      </c>
    </row>
    <row r="29">
      <c r="A29" t="n">
        <v>25</v>
      </c>
      <c r="B29" t="inlineStr">
        <is>
          <t>Held one year</t>
        </is>
      </c>
      <c r="C29" t="inlineStr">
        <is>
          <t>single tranche</t>
        </is>
      </c>
      <c r="D29" t="n">
        <v>18</v>
      </c>
      <c r="E29">
        <f>HYPERLINK("#'25_one_year_hold'!A1", "25_one_year_hold")</f>
        <v/>
      </c>
    </row>
    <row r="30">
      <c r="A30" t="n">
        <v>26</v>
      </c>
      <c r="B30" t="inlineStr">
        <is>
          <t>Two facilities sharing the sweep</t>
        </is>
      </c>
      <c r="C30" t="inlineStr">
        <is>
          <t>single tranche</t>
        </is>
      </c>
      <c r="D30" t="n">
        <v>54</v>
      </c>
      <c r="E30">
        <f>HYPERLINK("#'26_shared_sweep'!A1", "26_shared_sweep")</f>
        <v/>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 No leverage</t>
        </is>
      </c>
    </row>
    <row r="2">
      <c r="A2" t="inlineStr">
        <is>
          <t>Covers: no leverage, zero growth</t>
        </is>
      </c>
    </row>
    <row r="3" ht="90" customHeight="1">
      <c r="A3" s="2" t="inlineStr">
        <is>
          <t>An all-equity buyout. Each year EBIT 80 less 25% tax leaves 60 of net income; capex equals D&amp;A, so 60 of cash a year, which stays on the balance sheet because there is nothing to repay. Exit: 800 of EV plus 180 of cash for an 800 cheque, MOIC 1.225. The exit-sensitivity grid is checked twice: a different multiple at the same hold, and a five-year hold, which is its own model run (finding 7).</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8">
      <c r="A18" s="3" t="inlineStr">
        <is>
          <t>Working</t>
        </is>
      </c>
      <c r="B18" s="3" t="inlineStr">
        <is>
          <t>Name</t>
        </is>
      </c>
      <c r="C18" s="3" t="inlineStr">
        <is>
          <t>Formula</t>
        </is>
      </c>
      <c r="D18" s="3" t="inlineStr">
        <is>
          <t>Comes to</t>
        </is>
      </c>
      <c r="E18" s="3" t="inlineStr">
        <is>
          <t>Engine figure it must match</t>
        </is>
      </c>
      <c r="F18" s="3" t="inlineStr">
        <is>
          <t>Compared as</t>
        </is>
      </c>
    </row>
    <row r="19">
      <c r="A19" t="inlineStr">
        <is>
          <t>Operating EBITDA (what the model grows)</t>
        </is>
      </c>
      <c r="B19" t="inlineStr">
        <is>
          <t>op_ebitda</t>
        </is>
      </c>
      <c r="C19" s="4">
        <f>$C$6</f>
        <v/>
      </c>
      <c r="D19" s="4" t="n">
        <v>100</v>
      </c>
    </row>
    <row r="20">
      <c r="A20" t="inlineStr">
        <is>
          <t>Entry EV = (EBITDA + lease add-back) x entry multiple</t>
        </is>
      </c>
      <c r="B20" t="inlineStr">
        <is>
          <t>ev</t>
        </is>
      </c>
      <c r="C20" s="4">
        <f>($C$19+0)*$C$14</f>
        <v/>
      </c>
      <c r="D20" s="4" t="n">
        <v>800</v>
      </c>
    </row>
    <row r="21">
      <c r="A21" t="inlineStr">
        <is>
          <t>Debt drawn at close</t>
        </is>
      </c>
      <c r="B21" t="inlineStr">
        <is>
          <t>debt</t>
        </is>
      </c>
      <c r="C21" s="4">
        <f>0</f>
        <v/>
      </c>
      <c r="D21" s="4" t="n">
        <v>0</v>
      </c>
    </row>
    <row r="22">
      <c r="A22" t="inlineStr">
        <is>
          <t>Entry costs (fees and other uses)</t>
        </is>
      </c>
      <c r="B22" t="inlineStr">
        <is>
          <t>costs</t>
        </is>
      </c>
      <c r="C22" s="4">
        <f>0</f>
        <v/>
      </c>
      <c r="D22" s="4" t="n">
        <v>0</v>
      </c>
    </row>
    <row r="23">
      <c r="A23" t="inlineStr">
        <is>
          <t>Sponsor equity = EV + costs + minimum cash - debt - lease liability</t>
        </is>
      </c>
      <c r="B23" t="inlineStr">
        <is>
          <t>equity</t>
        </is>
      </c>
      <c r="C23" s="4">
        <f>$C$20+$C$22+0-$C$21-0</f>
        <v/>
      </c>
      <c r="D23" s="4" t="n">
        <v>800</v>
      </c>
      <c r="E23" t="inlineStr">
        <is>
          <t>returns.entry_equity</t>
        </is>
      </c>
      <c r="F23" t="inlineStr">
        <is>
          <t>money, to 0.01</t>
        </is>
      </c>
    </row>
    <row r="24">
      <c r="A24" t="inlineStr">
        <is>
          <t>Base revenue = EBITDA / (gross margin - opex + D&amp;A)</t>
        </is>
      </c>
      <c r="B24" t="inlineStr">
        <is>
          <t>rev_0</t>
        </is>
      </c>
      <c r="C24" s="4">
        <f>$C$6/($C$7-$C$8+$C$9)</f>
        <v/>
      </c>
      <c r="D24" s="4" t="n">
        <v>400</v>
      </c>
    </row>
    <row r="25">
      <c r="A25" t="inlineStr">
        <is>
          <t>Y1 revenue</t>
        </is>
      </c>
      <c r="B25" t="inlineStr">
        <is>
          <t>rev_1</t>
        </is>
      </c>
      <c r="C25" s="4">
        <f>$C$24*(1+$C$10)</f>
        <v/>
      </c>
      <c r="D25" s="4" t="n">
        <v>400</v>
      </c>
      <c r="E25" t="inlineStr">
        <is>
          <t>operating_model.revenue.0</t>
        </is>
      </c>
      <c r="F25" t="inlineStr">
        <is>
          <t>money, to 0.01</t>
        </is>
      </c>
    </row>
    <row r="26">
      <c r="A26" t="inlineStr">
        <is>
          <t>Y1 EBIT = revenue x (gross margin - opex)</t>
        </is>
      </c>
      <c r="B26" t="inlineStr">
        <is>
          <t>ebit_1</t>
        </is>
      </c>
      <c r="C26" s="4">
        <f>$C$25*($C$7-$C$8)</f>
        <v/>
      </c>
      <c r="D26" s="4" t="n">
        <v>80</v>
      </c>
      <c r="E26" t="inlineStr">
        <is>
          <t>operating_model.ebit.0</t>
        </is>
      </c>
      <c r="F26" t="inlineStr">
        <is>
          <t>money, to 0.01</t>
        </is>
      </c>
    </row>
    <row r="27">
      <c r="A27" t="inlineStr">
        <is>
          <t>Y1 D&amp;A</t>
        </is>
      </c>
      <c r="B27" t="inlineStr">
        <is>
          <t>da_1</t>
        </is>
      </c>
      <c r="C27" s="4">
        <f>$C$25*$C$9</f>
        <v/>
      </c>
      <c r="D27" s="4" t="n">
        <v>20</v>
      </c>
      <c r="E27" t="inlineStr">
        <is>
          <t>operating_model.da.0</t>
        </is>
      </c>
      <c r="F27" t="inlineStr">
        <is>
          <t>money, to 0.01</t>
        </is>
      </c>
    </row>
    <row r="28">
      <c r="A28" t="inlineStr">
        <is>
          <t>Y1 EBITDA</t>
        </is>
      </c>
      <c r="B28" t="inlineStr">
        <is>
          <t>ebitda_1</t>
        </is>
      </c>
      <c r="C28" s="4">
        <f>$C$26+$C$27</f>
        <v/>
      </c>
      <c r="D28" s="4" t="n">
        <v>100</v>
      </c>
      <c r="E28" t="inlineStr">
        <is>
          <t>operating_model.ebitda.0</t>
        </is>
      </c>
      <c r="F28" t="inlineStr">
        <is>
          <t>money, to 0.01</t>
        </is>
      </c>
    </row>
    <row r="29">
      <c r="A29" t="inlineStr">
        <is>
          <t>Y1 capex</t>
        </is>
      </c>
      <c r="B29" t="inlineStr">
        <is>
          <t>capex_1</t>
        </is>
      </c>
      <c r="C29" s="4">
        <f>$C$25*$C$11</f>
        <v/>
      </c>
      <c r="D29" s="4" t="n">
        <v>20</v>
      </c>
      <c r="E29" t="inlineStr">
        <is>
          <t>cash_flow.capex.0</t>
        </is>
      </c>
      <c r="F29" t="inlineStr">
        <is>
          <t>money, to 0.01</t>
        </is>
      </c>
    </row>
    <row r="30">
      <c r="A30" t="inlineStr">
        <is>
          <t>Y1 change in working capital</t>
        </is>
      </c>
      <c r="B30" t="inlineStr">
        <is>
          <t>dnwc_1</t>
        </is>
      </c>
      <c r="C30" s="4">
        <f>$C$25*$C$12</f>
        <v/>
      </c>
      <c r="D30" s="4" t="n">
        <v>0</v>
      </c>
      <c r="E30" t="inlineStr">
        <is>
          <t>cash_flow.delta_nwc.0</t>
        </is>
      </c>
      <c r="F30" t="inlineStr">
        <is>
          <t>money, to 0.01</t>
        </is>
      </c>
    </row>
    <row r="31">
      <c r="A31" t="inlineStr">
        <is>
          <t>Y2 revenue</t>
        </is>
      </c>
      <c r="B31" t="inlineStr">
        <is>
          <t>rev_2</t>
        </is>
      </c>
      <c r="C31" s="4">
        <f>$C$25*(1+$C$10)</f>
        <v/>
      </c>
      <c r="D31" s="4" t="n">
        <v>400</v>
      </c>
      <c r="E31" t="inlineStr">
        <is>
          <t>operating_model.revenue.1</t>
        </is>
      </c>
      <c r="F31" t="inlineStr">
        <is>
          <t>money, to 0.01</t>
        </is>
      </c>
    </row>
    <row r="32">
      <c r="A32" t="inlineStr">
        <is>
          <t>Y2 EBIT = revenue x (gross margin - opex)</t>
        </is>
      </c>
      <c r="B32" t="inlineStr">
        <is>
          <t>ebit_2</t>
        </is>
      </c>
      <c r="C32" s="4">
        <f>$C$31*($C$7-$C$8)</f>
        <v/>
      </c>
      <c r="D32" s="4" t="n">
        <v>80</v>
      </c>
      <c r="E32" t="inlineStr">
        <is>
          <t>operating_model.ebit.1</t>
        </is>
      </c>
      <c r="F32" t="inlineStr">
        <is>
          <t>money, to 0.01</t>
        </is>
      </c>
    </row>
    <row r="33">
      <c r="A33" t="inlineStr">
        <is>
          <t>Y2 D&amp;A</t>
        </is>
      </c>
      <c r="B33" t="inlineStr">
        <is>
          <t>da_2</t>
        </is>
      </c>
      <c r="C33" s="4">
        <f>$C$31*$C$9</f>
        <v/>
      </c>
      <c r="D33" s="4" t="n">
        <v>20</v>
      </c>
      <c r="E33" t="inlineStr">
        <is>
          <t>operating_model.da.1</t>
        </is>
      </c>
      <c r="F33" t="inlineStr">
        <is>
          <t>money, to 0.01</t>
        </is>
      </c>
    </row>
    <row r="34">
      <c r="A34" t="inlineStr">
        <is>
          <t>Y2 EBITDA</t>
        </is>
      </c>
      <c r="B34" t="inlineStr">
        <is>
          <t>ebitda_2</t>
        </is>
      </c>
      <c r="C34" s="4">
        <f>$C$32+$C$33</f>
        <v/>
      </c>
      <c r="D34" s="4" t="n">
        <v>100</v>
      </c>
      <c r="E34" t="inlineStr">
        <is>
          <t>operating_model.ebitda.1</t>
        </is>
      </c>
      <c r="F34" t="inlineStr">
        <is>
          <t>money, to 0.01</t>
        </is>
      </c>
    </row>
    <row r="35">
      <c r="A35" t="inlineStr">
        <is>
          <t>Y2 capex</t>
        </is>
      </c>
      <c r="B35" t="inlineStr">
        <is>
          <t>capex_2</t>
        </is>
      </c>
      <c r="C35" s="4">
        <f>$C$31*$C$11</f>
        <v/>
      </c>
      <c r="D35" s="4" t="n">
        <v>20</v>
      </c>
      <c r="E35" t="inlineStr">
        <is>
          <t>cash_flow.capex.1</t>
        </is>
      </c>
      <c r="F35" t="inlineStr">
        <is>
          <t>money, to 0.01</t>
        </is>
      </c>
    </row>
    <row r="36">
      <c r="A36" t="inlineStr">
        <is>
          <t>Y2 change in working capital</t>
        </is>
      </c>
      <c r="B36" t="inlineStr">
        <is>
          <t>dnwc_2</t>
        </is>
      </c>
      <c r="C36" s="4">
        <f>$C$31*$C$12</f>
        <v/>
      </c>
      <c r="D36" s="4" t="n">
        <v>0</v>
      </c>
      <c r="E36" t="inlineStr">
        <is>
          <t>cash_flow.delta_nwc.1</t>
        </is>
      </c>
      <c r="F36" t="inlineStr">
        <is>
          <t>money, to 0.01</t>
        </is>
      </c>
    </row>
    <row r="37">
      <c r="A37" t="inlineStr">
        <is>
          <t>Y3 revenue</t>
        </is>
      </c>
      <c r="B37" t="inlineStr">
        <is>
          <t>rev_3</t>
        </is>
      </c>
      <c r="C37" s="4">
        <f>$C$31*(1+$C$10)</f>
        <v/>
      </c>
      <c r="D37" s="4" t="n">
        <v>400</v>
      </c>
      <c r="E37" t="inlineStr">
        <is>
          <t>operating_model.revenue.2</t>
        </is>
      </c>
      <c r="F37" t="inlineStr">
        <is>
          <t>money, to 0.01</t>
        </is>
      </c>
    </row>
    <row r="38">
      <c r="A38" t="inlineStr">
        <is>
          <t>Y3 EBIT = revenue x (gross margin - opex)</t>
        </is>
      </c>
      <c r="B38" t="inlineStr">
        <is>
          <t>ebit_3</t>
        </is>
      </c>
      <c r="C38" s="4">
        <f>$C$37*($C$7-$C$8)</f>
        <v/>
      </c>
      <c r="D38" s="4" t="n">
        <v>80</v>
      </c>
      <c r="E38" t="inlineStr">
        <is>
          <t>operating_model.ebit.2</t>
        </is>
      </c>
      <c r="F38" t="inlineStr">
        <is>
          <t>money, to 0.01</t>
        </is>
      </c>
    </row>
    <row r="39">
      <c r="A39" t="inlineStr">
        <is>
          <t>Y3 D&amp;A</t>
        </is>
      </c>
      <c r="B39" t="inlineStr">
        <is>
          <t>da_3</t>
        </is>
      </c>
      <c r="C39" s="4">
        <f>$C$37*$C$9</f>
        <v/>
      </c>
      <c r="D39" s="4" t="n">
        <v>20</v>
      </c>
      <c r="E39" t="inlineStr">
        <is>
          <t>operating_model.da.2</t>
        </is>
      </c>
      <c r="F39" t="inlineStr">
        <is>
          <t>money, to 0.01</t>
        </is>
      </c>
    </row>
    <row r="40">
      <c r="A40" t="inlineStr">
        <is>
          <t>Y3 EBITDA</t>
        </is>
      </c>
      <c r="B40" t="inlineStr">
        <is>
          <t>ebitda_3</t>
        </is>
      </c>
      <c r="C40" s="4">
        <f>$C$38+$C$39</f>
        <v/>
      </c>
      <c r="D40" s="4" t="n">
        <v>100</v>
      </c>
      <c r="E40" t="inlineStr">
        <is>
          <t>operating_model.ebitda.2</t>
        </is>
      </c>
      <c r="F40" t="inlineStr">
        <is>
          <t>money, to 0.01</t>
        </is>
      </c>
    </row>
    <row r="41">
      <c r="A41" t="inlineStr">
        <is>
          <t>Y3 capex</t>
        </is>
      </c>
      <c r="B41" t="inlineStr">
        <is>
          <t>capex_3</t>
        </is>
      </c>
      <c r="C41" s="4">
        <f>$C$37*$C$11</f>
        <v/>
      </c>
      <c r="D41" s="4" t="n">
        <v>20</v>
      </c>
      <c r="E41" t="inlineStr">
        <is>
          <t>cash_flow.capex.2</t>
        </is>
      </c>
      <c r="F41" t="inlineStr">
        <is>
          <t>money, to 0.01</t>
        </is>
      </c>
    </row>
    <row r="42">
      <c r="A42" t="inlineStr">
        <is>
          <t>Y3 change in working capital</t>
        </is>
      </c>
      <c r="B42" t="inlineStr">
        <is>
          <t>dnwc_3</t>
        </is>
      </c>
      <c r="C42" s="4">
        <f>$C$37*$C$12</f>
        <v/>
      </c>
      <c r="D42" s="4" t="n">
        <v>0</v>
      </c>
      <c r="E42" t="inlineStr">
        <is>
          <t>cash_flow.delta_nwc.2</t>
        </is>
      </c>
      <c r="F42" t="inlineStr">
        <is>
          <t>money, to 0.01</t>
        </is>
      </c>
    </row>
    <row r="43">
      <c r="A43" t="inlineStr">
        <is>
          <t>Y1 interest expense</t>
        </is>
      </c>
      <c r="B43" t="inlineStr">
        <is>
          <t>int_1</t>
        </is>
      </c>
      <c r="C43" s="4">
        <f>0</f>
        <v/>
      </c>
      <c r="D43" s="4" t="n">
        <v>0</v>
      </c>
      <c r="E43" t="inlineStr">
        <is>
          <t>operating_model.interest_expense.0</t>
        </is>
      </c>
      <c r="F43" t="inlineStr">
        <is>
          <t>money, to 0.01</t>
        </is>
      </c>
    </row>
    <row r="44">
      <c r="A44" t="inlineStr">
        <is>
          <t>Y1 profit before tax = EBIT - interest + interest income</t>
        </is>
      </c>
      <c r="B44" t="inlineStr">
        <is>
          <t>ebt_1</t>
        </is>
      </c>
      <c r="C44" s="4">
        <f>$C$26-$C$43+0</f>
        <v/>
      </c>
      <c r="D44" s="4" t="n">
        <v>80</v>
      </c>
      <c r="E44" t="inlineStr">
        <is>
          <t>operating_model.ebt.0</t>
        </is>
      </c>
      <c r="F44" t="inlineStr">
        <is>
          <t>money, to 0.01</t>
        </is>
      </c>
    </row>
    <row r="45">
      <c r="A45" t="inlineStr">
        <is>
          <t>Y1 tax</t>
        </is>
      </c>
      <c r="B45" t="inlineStr">
        <is>
          <t>tax_1</t>
        </is>
      </c>
      <c r="C45" s="4">
        <f>MAX($C$44,0)*$C$13</f>
        <v/>
      </c>
      <c r="D45" s="4" t="n">
        <v>20</v>
      </c>
      <c r="E45" t="inlineStr">
        <is>
          <t>operating_model.taxes.0</t>
        </is>
      </c>
      <c r="F45" t="inlineStr">
        <is>
          <t>money, to 0.01</t>
        </is>
      </c>
    </row>
    <row r="46">
      <c r="A46" t="inlineStr">
        <is>
          <t>Y1 net income</t>
        </is>
      </c>
      <c r="B46" t="inlineStr">
        <is>
          <t>ni_1</t>
        </is>
      </c>
      <c r="C46" s="4">
        <f>$C$44-$C$45</f>
        <v/>
      </c>
      <c r="D46" s="4" t="n">
        <v>60</v>
      </c>
      <c r="E46" t="inlineStr">
        <is>
          <t>operating_model.net_income.0</t>
        </is>
      </c>
      <c r="F46" t="inlineStr">
        <is>
          <t>money, to 0.01</t>
        </is>
      </c>
    </row>
    <row r="47">
      <c r="A47" t="inlineStr">
        <is>
          <t>Y1 levered free cash flow (before repaying debt)</t>
        </is>
      </c>
      <c r="B47" t="inlineStr">
        <is>
          <t>fcf_1</t>
        </is>
      </c>
      <c r="C47" s="4">
        <f>$C$46+$C$27-$C$29-$C$30</f>
        <v/>
      </c>
      <c r="D47" s="4" t="n">
        <v>60</v>
      </c>
      <c r="E47" t="inlineStr">
        <is>
          <t>cash_flow.levered_fcf.0</t>
        </is>
      </c>
      <c r="F47" t="inlineStr">
        <is>
          <t>money, to 0.01</t>
        </is>
      </c>
    </row>
    <row r="48">
      <c r="A48" t="inlineStr">
        <is>
          <t>Y1 closing cash: nothing to repay, so it piles up</t>
        </is>
      </c>
      <c r="B48" t="inlineStr">
        <is>
          <t>cash_1</t>
        </is>
      </c>
      <c r="C48" s="4">
        <f>0+$C$47</f>
        <v/>
      </c>
      <c r="D48" s="4" t="n">
        <v>60</v>
      </c>
      <c r="E48" t="inlineStr">
        <is>
          <t>debt_schedule.cash_balance.0</t>
        </is>
      </c>
      <c r="F48" t="inlineStr">
        <is>
          <t>money, to 0.01</t>
        </is>
      </c>
    </row>
    <row r="49">
      <c r="A49" t="inlineStr">
        <is>
          <t>Y2 interest expense</t>
        </is>
      </c>
      <c r="B49" t="inlineStr">
        <is>
          <t>int_2</t>
        </is>
      </c>
      <c r="C49" s="4">
        <f>0</f>
        <v/>
      </c>
      <c r="D49" s="4" t="n">
        <v>0</v>
      </c>
      <c r="E49" t="inlineStr">
        <is>
          <t>operating_model.interest_expense.1</t>
        </is>
      </c>
      <c r="F49" t="inlineStr">
        <is>
          <t>money, to 0.01</t>
        </is>
      </c>
    </row>
    <row r="50">
      <c r="A50" t="inlineStr">
        <is>
          <t>Y2 profit before tax = EBIT - interest + interest income</t>
        </is>
      </c>
      <c r="B50" t="inlineStr">
        <is>
          <t>ebt_2</t>
        </is>
      </c>
      <c r="C50" s="4">
        <f>$C$32-$C$49+0</f>
        <v/>
      </c>
      <c r="D50" s="4" t="n">
        <v>80</v>
      </c>
      <c r="E50" t="inlineStr">
        <is>
          <t>operating_model.ebt.1</t>
        </is>
      </c>
      <c r="F50" t="inlineStr">
        <is>
          <t>money, to 0.01</t>
        </is>
      </c>
    </row>
    <row r="51">
      <c r="A51" t="inlineStr">
        <is>
          <t>Y2 tax</t>
        </is>
      </c>
      <c r="B51" t="inlineStr">
        <is>
          <t>tax_2</t>
        </is>
      </c>
      <c r="C51" s="4">
        <f>MAX($C$50,0)*$C$13</f>
        <v/>
      </c>
      <c r="D51" s="4" t="n">
        <v>20</v>
      </c>
      <c r="E51" t="inlineStr">
        <is>
          <t>operating_model.taxes.1</t>
        </is>
      </c>
      <c r="F51" t="inlineStr">
        <is>
          <t>money, to 0.01</t>
        </is>
      </c>
    </row>
    <row r="52">
      <c r="A52" t="inlineStr">
        <is>
          <t>Y2 net income</t>
        </is>
      </c>
      <c r="B52" t="inlineStr">
        <is>
          <t>ni_2</t>
        </is>
      </c>
      <c r="C52" s="4">
        <f>$C$50-$C$51</f>
        <v/>
      </c>
      <c r="D52" s="4" t="n">
        <v>60</v>
      </c>
      <c r="E52" t="inlineStr">
        <is>
          <t>operating_model.net_income.1</t>
        </is>
      </c>
      <c r="F52" t="inlineStr">
        <is>
          <t>money, to 0.01</t>
        </is>
      </c>
    </row>
    <row r="53">
      <c r="A53" t="inlineStr">
        <is>
          <t>Y2 levered free cash flow (before repaying debt)</t>
        </is>
      </c>
      <c r="B53" t="inlineStr">
        <is>
          <t>fcf_2</t>
        </is>
      </c>
      <c r="C53" s="4">
        <f>$C$52+$C$33-$C$35-$C$36</f>
        <v/>
      </c>
      <c r="D53" s="4" t="n">
        <v>60</v>
      </c>
      <c r="E53" t="inlineStr">
        <is>
          <t>cash_flow.levered_fcf.1</t>
        </is>
      </c>
      <c r="F53" t="inlineStr">
        <is>
          <t>money, to 0.01</t>
        </is>
      </c>
    </row>
    <row r="54">
      <c r="A54" t="inlineStr">
        <is>
          <t>Y2 closing cash: nothing to repay, so it piles up</t>
        </is>
      </c>
      <c r="B54" t="inlineStr">
        <is>
          <t>cash_2</t>
        </is>
      </c>
      <c r="C54" s="4">
        <f>$C$48+$C$53</f>
        <v/>
      </c>
      <c r="D54" s="4" t="n">
        <v>120</v>
      </c>
      <c r="E54" t="inlineStr">
        <is>
          <t>debt_schedule.cash_balance.1</t>
        </is>
      </c>
      <c r="F54" t="inlineStr">
        <is>
          <t>money, to 0.01</t>
        </is>
      </c>
    </row>
    <row r="55">
      <c r="A55" t="inlineStr">
        <is>
          <t>Y3 interest expense</t>
        </is>
      </c>
      <c r="B55" t="inlineStr">
        <is>
          <t>int_3</t>
        </is>
      </c>
      <c r="C55" s="4">
        <f>0</f>
        <v/>
      </c>
      <c r="D55" s="4" t="n">
        <v>0</v>
      </c>
      <c r="E55" t="inlineStr">
        <is>
          <t>operating_model.interest_expense.2</t>
        </is>
      </c>
      <c r="F55" t="inlineStr">
        <is>
          <t>money, to 0.01</t>
        </is>
      </c>
    </row>
    <row r="56">
      <c r="A56" t="inlineStr">
        <is>
          <t>Y3 profit before tax = EBIT - interest + interest income</t>
        </is>
      </c>
      <c r="B56" t="inlineStr">
        <is>
          <t>ebt_3</t>
        </is>
      </c>
      <c r="C56" s="4">
        <f>$C$38-$C$55+0</f>
        <v/>
      </c>
      <c r="D56" s="4" t="n">
        <v>80</v>
      </c>
      <c r="E56" t="inlineStr">
        <is>
          <t>operating_model.ebt.2</t>
        </is>
      </c>
      <c r="F56" t="inlineStr">
        <is>
          <t>money, to 0.01</t>
        </is>
      </c>
    </row>
    <row r="57">
      <c r="A57" t="inlineStr">
        <is>
          <t>Y3 tax</t>
        </is>
      </c>
      <c r="B57" t="inlineStr">
        <is>
          <t>tax_3</t>
        </is>
      </c>
      <c r="C57" s="4">
        <f>MAX($C$56,0)*$C$13</f>
        <v/>
      </c>
      <c r="D57" s="4" t="n">
        <v>20</v>
      </c>
      <c r="E57" t="inlineStr">
        <is>
          <t>operating_model.taxes.2</t>
        </is>
      </c>
      <c r="F57" t="inlineStr">
        <is>
          <t>money, to 0.01</t>
        </is>
      </c>
    </row>
    <row r="58">
      <c r="A58" t="inlineStr">
        <is>
          <t>Y3 net income</t>
        </is>
      </c>
      <c r="B58" t="inlineStr">
        <is>
          <t>ni_3</t>
        </is>
      </c>
      <c r="C58" s="4">
        <f>$C$56-$C$57</f>
        <v/>
      </c>
      <c r="D58" s="4" t="n">
        <v>60</v>
      </c>
      <c r="E58" t="inlineStr">
        <is>
          <t>operating_model.net_income.2</t>
        </is>
      </c>
      <c r="F58" t="inlineStr">
        <is>
          <t>money, to 0.01</t>
        </is>
      </c>
    </row>
    <row r="59">
      <c r="A59" t="inlineStr">
        <is>
          <t>Y3 levered free cash flow (before repaying debt)</t>
        </is>
      </c>
      <c r="B59" t="inlineStr">
        <is>
          <t>fcf_3</t>
        </is>
      </c>
      <c r="C59" s="4">
        <f>$C$58+$C$39-$C$41-$C$42</f>
        <v/>
      </c>
      <c r="D59" s="4" t="n">
        <v>60</v>
      </c>
      <c r="E59" t="inlineStr">
        <is>
          <t>cash_flow.levered_fcf.2</t>
        </is>
      </c>
      <c r="F59" t="inlineStr">
        <is>
          <t>money, to 0.01</t>
        </is>
      </c>
    </row>
    <row r="60">
      <c r="A60" t="inlineStr">
        <is>
          <t>Y3 closing cash: nothing to repay, so it piles up</t>
        </is>
      </c>
      <c r="B60" t="inlineStr">
        <is>
          <t>cash_3</t>
        </is>
      </c>
      <c r="C60" s="4">
        <f>$C$54+$C$59</f>
        <v/>
      </c>
      <c r="D60" s="4" t="n">
        <v>180</v>
      </c>
      <c r="E60" t="inlineStr">
        <is>
          <t>debt_schedule.cash_balance.2</t>
        </is>
      </c>
      <c r="F60" t="inlineStr">
        <is>
          <t>money, to 0.01</t>
        </is>
      </c>
    </row>
    <row r="61">
      <c r="A61" t="inlineStr">
        <is>
          <t>Net debt at exit (debt - cash + lease liability)</t>
        </is>
      </c>
      <c r="B61" t="inlineStr">
        <is>
          <t>net_debt_exit</t>
        </is>
      </c>
      <c r="C61" s="4">
        <f>0-$C$60</f>
        <v/>
      </c>
      <c r="D61" s="4" t="n">
        <v>-180</v>
      </c>
      <c r="E61" t="inlineStr">
        <is>
          <t>returns.net_debt_at_exit</t>
        </is>
      </c>
      <c r="F61" t="inlineStr">
        <is>
          <t>money, to 0.01</t>
        </is>
      </c>
    </row>
    <row r="62">
      <c r="A62" t="inlineStr">
        <is>
          <t>Exit EV = (final-year EBITDA + lease add-back) x exit multiple</t>
        </is>
      </c>
      <c r="B62" t="inlineStr">
        <is>
          <t>exit_ev</t>
        </is>
      </c>
      <c r="C62" s="4">
        <f>($C$40+0)*$C$15</f>
        <v/>
      </c>
      <c r="D62" s="4" t="n">
        <v>800</v>
      </c>
      <c r="E62" t="inlineStr">
        <is>
          <t>returns.exit_ev</t>
        </is>
      </c>
      <c r="F62" t="inlineStr">
        <is>
          <t>money, to 0.01</t>
        </is>
      </c>
    </row>
    <row r="63">
      <c r="A63" t="inlineStr">
        <is>
          <t>Exit equity = exit EV - net debt</t>
        </is>
      </c>
      <c r="B63" t="inlineStr">
        <is>
          <t>exit_equity</t>
        </is>
      </c>
      <c r="C63" s="4">
        <f>$C$62-$C$61</f>
        <v/>
      </c>
      <c r="D63" s="4" t="n">
        <v>980</v>
      </c>
      <c r="E63" t="inlineStr">
        <is>
          <t>returns.net_exit_equity</t>
        </is>
      </c>
      <c r="F63" t="inlineStr">
        <is>
          <t>money, to 0.01</t>
        </is>
      </c>
    </row>
    <row r="64">
      <c r="A64" t="inlineStr">
        <is>
          <t>MOIC = exit equity / entry equity</t>
        </is>
      </c>
      <c r="B64" t="inlineStr">
        <is>
          <t>moic</t>
        </is>
      </c>
      <c r="C64" s="5">
        <f>$C$63/$C$23</f>
        <v/>
      </c>
      <c r="D64" s="5" t="n">
        <v>1.225</v>
      </c>
      <c r="E64" t="inlineStr">
        <is>
          <t>returns.moic</t>
        </is>
      </c>
      <c r="F64" t="inlineStr">
        <is>
          <t>multiple, to 0.01</t>
        </is>
      </c>
    </row>
    <row r="65">
      <c r="A65" t="inlineStr">
        <is>
          <t>IRR = MOIC ^ (1 / years) - 1</t>
        </is>
      </c>
      <c r="B65" t="inlineStr">
        <is>
          <t>irr</t>
        </is>
      </c>
      <c r="C65" s="6">
        <f>$C$64^(1/$C$16)-1</f>
        <v/>
      </c>
      <c r="D65" s="6" t="n">
        <v>0.06998748056507953</v>
      </c>
      <c r="E65" t="inlineStr">
        <is>
          <t>returns.irr</t>
        </is>
      </c>
      <c r="F65" t="inlineStr">
        <is>
          <t>per cent, to 0.01</t>
        </is>
      </c>
    </row>
    <row r="66">
      <c r="A66" t="inlineStr">
        <is>
          <t>Grid: IRR at 6x after 3 years = ((6 x EBITDA + cash) / equity)^(1/3) - 1</t>
        </is>
      </c>
      <c r="B66" t="inlineStr">
        <is>
          <t>grid_6x_3y</t>
        </is>
      </c>
      <c r="C66" s="6">
        <f>((6*$C$40+$C$60)/$C$23)^(1/3)-1</f>
        <v/>
      </c>
      <c r="D66" s="6" t="n">
        <v>-0.008403758659612626</v>
      </c>
      <c r="E66" t="inlineStr">
        <is>
          <t>exit_sensitivity.table.0.0</t>
        </is>
      </c>
      <c r="F66" t="inlineStr">
        <is>
          <t>per cent, to 0.01</t>
        </is>
      </c>
    </row>
    <row r="67">
      <c r="A67" t="inlineStr">
        <is>
          <t>Grid, held 5 years: five years of the same cash flow</t>
        </is>
      </c>
      <c r="B67" t="inlineStr">
        <is>
          <t>cash_5y</t>
        </is>
      </c>
      <c r="C67" s="4">
        <f>5*$C$47</f>
        <v/>
      </c>
      <c r="D67" s="4" t="n">
        <v>300</v>
      </c>
    </row>
    <row r="68">
      <c r="A68" t="inlineStr">
        <is>
          <t>Grid: IRR at 8x after 5 years (its own five-year run)</t>
        </is>
      </c>
      <c r="B68" t="inlineStr">
        <is>
          <t>grid_8x_5y</t>
        </is>
      </c>
      <c r="C68" s="6">
        <f>((8*$C$40+$C$67)/$C$23)^(1/5)-1</f>
        <v/>
      </c>
      <c r="D68" s="6" t="n">
        <v>0.06576275663547415</v>
      </c>
      <c r="E68" t="inlineStr">
        <is>
          <t>exit_sensitivity.table.2.2</t>
        </is>
      </c>
      <c r="F68" t="inlineStr">
        <is>
          <t>per cent, to 0.01</t>
        </is>
      </c>
    </row>
    <row r="70">
      <c r="A70" s="3" t="inlineStr">
        <is>
          <t>Headline answers, typed by hand</t>
        </is>
      </c>
    </row>
    <row r="71">
      <c r="A71" t="inlineStr">
        <is>
          <t>Sponsor equity = EV + costs + minimum cash - debt - lease liability</t>
        </is>
      </c>
      <c r="B71" t="inlineStr">
        <is>
          <t>equity</t>
        </is>
      </c>
      <c r="D71" s="4" t="n">
        <v>800</v>
      </c>
    </row>
    <row r="72">
      <c r="A72" t="inlineStr">
        <is>
          <t>Exit equity = exit EV - net debt</t>
        </is>
      </c>
      <c r="B72" t="inlineStr">
        <is>
          <t>exit_equity</t>
        </is>
      </c>
      <c r="D72" s="4" t="n">
        <v>980</v>
      </c>
    </row>
  </sheetData>
  <mergeCells count="1">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 One tranche, no sweep</t>
        </is>
      </c>
    </row>
    <row r="2">
      <c r="A2" t="inlineStr">
        <is>
          <t>Covers: single tranche, zero growth</t>
        </is>
      </c>
    </row>
    <row r="3" ht="90" customHeight="1">
      <c r="A3" s="2" t="inlineStr">
        <is>
          <t>400 of fixed-rate notes at 10%, due after the exit, not swept. Interest is 40 every year, net income (80 - 40) x 75% = 30, and the cash piles up to 90. Net debt at exit 400 - 90 = 310, exit equity 490 for a 400 cheque.</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9">
      <c r="A19" s="3" t="inlineStr">
        <is>
          <t>Working</t>
        </is>
      </c>
      <c r="B19" s="3" t="inlineStr">
        <is>
          <t>Name</t>
        </is>
      </c>
      <c r="C19" s="3" t="inlineStr">
        <is>
          <t>Formula</t>
        </is>
      </c>
      <c r="D19" s="3" t="inlineStr">
        <is>
          <t>Comes to</t>
        </is>
      </c>
      <c r="E19" s="3" t="inlineStr">
        <is>
          <t>Engine figure it must match</t>
        </is>
      </c>
      <c r="F19" s="3" t="inlineStr">
        <is>
          <t>Compared as</t>
        </is>
      </c>
    </row>
    <row r="20">
      <c r="A20" t="inlineStr">
        <is>
          <t>Operating EBITDA (what the model grows)</t>
        </is>
      </c>
      <c r="B20" t="inlineStr">
        <is>
          <t>op_ebitda</t>
        </is>
      </c>
      <c r="C20" s="4">
        <f>$C$6</f>
        <v/>
      </c>
      <c r="D20" s="4" t="n">
        <v>100</v>
      </c>
    </row>
    <row r="21">
      <c r="A21" t="inlineStr">
        <is>
          <t>Entry EV = (EBITDA + lease add-back) x entry multiple</t>
        </is>
      </c>
      <c r="B21" t="inlineStr">
        <is>
          <t>ev</t>
        </is>
      </c>
      <c r="C21" s="4">
        <f>($C$20+0)*$C$14</f>
        <v/>
      </c>
      <c r="D21" s="4" t="n">
        <v>800</v>
      </c>
    </row>
    <row r="22">
      <c r="A22" t="inlineStr">
        <is>
          <t>Debt drawn at close</t>
        </is>
      </c>
      <c r="B22" t="inlineStr">
        <is>
          <t>debt</t>
        </is>
      </c>
      <c r="C22" s="4">
        <f>400</f>
        <v/>
      </c>
      <c r="D22" s="4" t="n">
        <v>400</v>
      </c>
    </row>
    <row r="23">
      <c r="A23" t="inlineStr">
        <is>
          <t>Entry costs (fees and other uses)</t>
        </is>
      </c>
      <c r="B23" t="inlineStr">
        <is>
          <t>costs</t>
        </is>
      </c>
      <c r="C23" s="4">
        <f>0</f>
        <v/>
      </c>
      <c r="D23" s="4" t="n">
        <v>0</v>
      </c>
    </row>
    <row r="24">
      <c r="A24" t="inlineStr">
        <is>
          <t>Sponsor equity = EV + costs + minimum cash - debt - lease liability</t>
        </is>
      </c>
      <c r="B24" t="inlineStr">
        <is>
          <t>equity</t>
        </is>
      </c>
      <c r="C24" s="4">
        <f>$C$21+$C$23+0-$C$22-0</f>
        <v/>
      </c>
      <c r="D24" s="4" t="n">
        <v>400</v>
      </c>
      <c r="E24" t="inlineStr">
        <is>
          <t>returns.entry_equity</t>
        </is>
      </c>
      <c r="F24" t="inlineStr">
        <is>
          <t>money, to 0.01</t>
        </is>
      </c>
    </row>
    <row r="25">
      <c r="A25" t="inlineStr">
        <is>
          <t>Base revenue = EBITDA / (gross margin - opex + D&amp;A)</t>
        </is>
      </c>
      <c r="B25" t="inlineStr">
        <is>
          <t>rev_0</t>
        </is>
      </c>
      <c r="C25" s="4">
        <f>$C$6/($C$7-$C$8+$C$9)</f>
        <v/>
      </c>
      <c r="D25" s="4" t="n">
        <v>400</v>
      </c>
    </row>
    <row r="26">
      <c r="A26" t="inlineStr">
        <is>
          <t>Y1 revenue</t>
        </is>
      </c>
      <c r="B26" t="inlineStr">
        <is>
          <t>rev_1</t>
        </is>
      </c>
      <c r="C26" s="4">
        <f>$C$25*(1+$C$10)</f>
        <v/>
      </c>
      <c r="D26" s="4" t="n">
        <v>400</v>
      </c>
      <c r="E26" t="inlineStr">
        <is>
          <t>operating_model.revenue.0</t>
        </is>
      </c>
      <c r="F26" t="inlineStr">
        <is>
          <t>money, to 0.01</t>
        </is>
      </c>
    </row>
    <row r="27">
      <c r="A27" t="inlineStr">
        <is>
          <t>Y1 EBIT = revenue x (gross margin - opex)</t>
        </is>
      </c>
      <c r="B27" t="inlineStr">
        <is>
          <t>ebit_1</t>
        </is>
      </c>
      <c r="C27" s="4">
        <f>$C$26*($C$7-$C$8)</f>
        <v/>
      </c>
      <c r="D27" s="4" t="n">
        <v>80</v>
      </c>
      <c r="E27" t="inlineStr">
        <is>
          <t>operating_model.ebit.0</t>
        </is>
      </c>
      <c r="F27" t="inlineStr">
        <is>
          <t>money, to 0.01</t>
        </is>
      </c>
    </row>
    <row r="28">
      <c r="A28" t="inlineStr">
        <is>
          <t>Y1 D&amp;A</t>
        </is>
      </c>
      <c r="B28" t="inlineStr">
        <is>
          <t>da_1</t>
        </is>
      </c>
      <c r="C28" s="4">
        <f>$C$26*$C$9</f>
        <v/>
      </c>
      <c r="D28" s="4" t="n">
        <v>20</v>
      </c>
      <c r="E28" t="inlineStr">
        <is>
          <t>operating_model.da.0</t>
        </is>
      </c>
      <c r="F28" t="inlineStr">
        <is>
          <t>money, to 0.01</t>
        </is>
      </c>
    </row>
    <row r="29">
      <c r="A29" t="inlineStr">
        <is>
          <t>Y1 EBITDA</t>
        </is>
      </c>
      <c r="B29" t="inlineStr">
        <is>
          <t>ebitda_1</t>
        </is>
      </c>
      <c r="C29" s="4">
        <f>$C$27+$C$28</f>
        <v/>
      </c>
      <c r="D29" s="4" t="n">
        <v>100</v>
      </c>
      <c r="E29" t="inlineStr">
        <is>
          <t>operating_model.ebitda.0</t>
        </is>
      </c>
      <c r="F29" t="inlineStr">
        <is>
          <t>money, to 0.01</t>
        </is>
      </c>
    </row>
    <row r="30">
      <c r="A30" t="inlineStr">
        <is>
          <t>Y1 capex</t>
        </is>
      </c>
      <c r="B30" t="inlineStr">
        <is>
          <t>capex_1</t>
        </is>
      </c>
      <c r="C30" s="4">
        <f>$C$26*$C$11</f>
        <v/>
      </c>
      <c r="D30" s="4" t="n">
        <v>20</v>
      </c>
      <c r="E30" t="inlineStr">
        <is>
          <t>cash_flow.capex.0</t>
        </is>
      </c>
      <c r="F30" t="inlineStr">
        <is>
          <t>money, to 0.01</t>
        </is>
      </c>
    </row>
    <row r="31">
      <c r="A31" t="inlineStr">
        <is>
          <t>Y1 change in working capital</t>
        </is>
      </c>
      <c r="B31" t="inlineStr">
        <is>
          <t>dnwc_1</t>
        </is>
      </c>
      <c r="C31" s="4">
        <f>$C$26*$C$12</f>
        <v/>
      </c>
      <c r="D31" s="4" t="n">
        <v>0</v>
      </c>
      <c r="E31" t="inlineStr">
        <is>
          <t>cash_flow.delta_nwc.0</t>
        </is>
      </c>
      <c r="F31" t="inlineStr">
        <is>
          <t>money, to 0.01</t>
        </is>
      </c>
    </row>
    <row r="32">
      <c r="A32" t="inlineStr">
        <is>
          <t>Y2 revenue</t>
        </is>
      </c>
      <c r="B32" t="inlineStr">
        <is>
          <t>rev_2</t>
        </is>
      </c>
      <c r="C32" s="4">
        <f>$C$26*(1+$C$10)</f>
        <v/>
      </c>
      <c r="D32" s="4" t="n">
        <v>400</v>
      </c>
      <c r="E32" t="inlineStr">
        <is>
          <t>operating_model.revenue.1</t>
        </is>
      </c>
      <c r="F32" t="inlineStr">
        <is>
          <t>money, to 0.01</t>
        </is>
      </c>
    </row>
    <row r="33">
      <c r="A33" t="inlineStr">
        <is>
          <t>Y2 EBIT = revenue x (gross margin - opex)</t>
        </is>
      </c>
      <c r="B33" t="inlineStr">
        <is>
          <t>ebit_2</t>
        </is>
      </c>
      <c r="C33" s="4">
        <f>$C$32*($C$7-$C$8)</f>
        <v/>
      </c>
      <c r="D33" s="4" t="n">
        <v>80</v>
      </c>
      <c r="E33" t="inlineStr">
        <is>
          <t>operating_model.ebit.1</t>
        </is>
      </c>
      <c r="F33" t="inlineStr">
        <is>
          <t>money, to 0.01</t>
        </is>
      </c>
    </row>
    <row r="34">
      <c r="A34" t="inlineStr">
        <is>
          <t>Y2 D&amp;A</t>
        </is>
      </c>
      <c r="B34" t="inlineStr">
        <is>
          <t>da_2</t>
        </is>
      </c>
      <c r="C34" s="4">
        <f>$C$32*$C$9</f>
        <v/>
      </c>
      <c r="D34" s="4" t="n">
        <v>20</v>
      </c>
      <c r="E34" t="inlineStr">
        <is>
          <t>operating_model.da.1</t>
        </is>
      </c>
      <c r="F34" t="inlineStr">
        <is>
          <t>money, to 0.01</t>
        </is>
      </c>
    </row>
    <row r="35">
      <c r="A35" t="inlineStr">
        <is>
          <t>Y2 EBITDA</t>
        </is>
      </c>
      <c r="B35" t="inlineStr">
        <is>
          <t>ebitda_2</t>
        </is>
      </c>
      <c r="C35" s="4">
        <f>$C$33+$C$34</f>
        <v/>
      </c>
      <c r="D35" s="4" t="n">
        <v>100</v>
      </c>
      <c r="E35" t="inlineStr">
        <is>
          <t>operating_model.ebitda.1</t>
        </is>
      </c>
      <c r="F35" t="inlineStr">
        <is>
          <t>money, to 0.01</t>
        </is>
      </c>
    </row>
    <row r="36">
      <c r="A36" t="inlineStr">
        <is>
          <t>Y2 capex</t>
        </is>
      </c>
      <c r="B36" t="inlineStr">
        <is>
          <t>capex_2</t>
        </is>
      </c>
      <c r="C36" s="4">
        <f>$C$32*$C$11</f>
        <v/>
      </c>
      <c r="D36" s="4" t="n">
        <v>20</v>
      </c>
      <c r="E36" t="inlineStr">
        <is>
          <t>cash_flow.capex.1</t>
        </is>
      </c>
      <c r="F36" t="inlineStr">
        <is>
          <t>money, to 0.01</t>
        </is>
      </c>
    </row>
    <row r="37">
      <c r="A37" t="inlineStr">
        <is>
          <t>Y2 change in working capital</t>
        </is>
      </c>
      <c r="B37" t="inlineStr">
        <is>
          <t>dnwc_2</t>
        </is>
      </c>
      <c r="C37" s="4">
        <f>$C$32*$C$12</f>
        <v/>
      </c>
      <c r="D37" s="4" t="n">
        <v>0</v>
      </c>
      <c r="E37" t="inlineStr">
        <is>
          <t>cash_flow.delta_nwc.1</t>
        </is>
      </c>
      <c r="F37" t="inlineStr">
        <is>
          <t>money, to 0.01</t>
        </is>
      </c>
    </row>
    <row r="38">
      <c r="A38" t="inlineStr">
        <is>
          <t>Y3 revenue</t>
        </is>
      </c>
      <c r="B38" t="inlineStr">
        <is>
          <t>rev_3</t>
        </is>
      </c>
      <c r="C38" s="4">
        <f>$C$32*(1+$C$10)</f>
        <v/>
      </c>
      <c r="D38" s="4" t="n">
        <v>400</v>
      </c>
      <c r="E38" t="inlineStr">
        <is>
          <t>operating_model.revenue.2</t>
        </is>
      </c>
      <c r="F38" t="inlineStr">
        <is>
          <t>money, to 0.01</t>
        </is>
      </c>
    </row>
    <row r="39">
      <c r="A39" t="inlineStr">
        <is>
          <t>Y3 EBIT = revenue x (gross margin - opex)</t>
        </is>
      </c>
      <c r="B39" t="inlineStr">
        <is>
          <t>ebit_3</t>
        </is>
      </c>
      <c r="C39" s="4">
        <f>$C$38*($C$7-$C$8)</f>
        <v/>
      </c>
      <c r="D39" s="4" t="n">
        <v>80</v>
      </c>
      <c r="E39" t="inlineStr">
        <is>
          <t>operating_model.ebit.2</t>
        </is>
      </c>
      <c r="F39" t="inlineStr">
        <is>
          <t>money, to 0.01</t>
        </is>
      </c>
    </row>
    <row r="40">
      <c r="A40" t="inlineStr">
        <is>
          <t>Y3 D&amp;A</t>
        </is>
      </c>
      <c r="B40" t="inlineStr">
        <is>
          <t>da_3</t>
        </is>
      </c>
      <c r="C40" s="4">
        <f>$C$38*$C$9</f>
        <v/>
      </c>
      <c r="D40" s="4" t="n">
        <v>20</v>
      </c>
      <c r="E40" t="inlineStr">
        <is>
          <t>operating_model.da.2</t>
        </is>
      </c>
      <c r="F40" t="inlineStr">
        <is>
          <t>money, to 0.01</t>
        </is>
      </c>
    </row>
    <row r="41">
      <c r="A41" t="inlineStr">
        <is>
          <t>Y3 EBITDA</t>
        </is>
      </c>
      <c r="B41" t="inlineStr">
        <is>
          <t>ebitda_3</t>
        </is>
      </c>
      <c r="C41" s="4">
        <f>$C$39+$C$40</f>
        <v/>
      </c>
      <c r="D41" s="4" t="n">
        <v>100</v>
      </c>
      <c r="E41" t="inlineStr">
        <is>
          <t>operating_model.ebitda.2</t>
        </is>
      </c>
      <c r="F41" t="inlineStr">
        <is>
          <t>money, to 0.01</t>
        </is>
      </c>
    </row>
    <row r="42">
      <c r="A42" t="inlineStr">
        <is>
          <t>Y3 capex</t>
        </is>
      </c>
      <c r="B42" t="inlineStr">
        <is>
          <t>capex_3</t>
        </is>
      </c>
      <c r="C42" s="4">
        <f>$C$38*$C$11</f>
        <v/>
      </c>
      <c r="D42" s="4" t="n">
        <v>20</v>
      </c>
      <c r="E42" t="inlineStr">
        <is>
          <t>cash_flow.capex.2</t>
        </is>
      </c>
      <c r="F42" t="inlineStr">
        <is>
          <t>money, to 0.01</t>
        </is>
      </c>
    </row>
    <row r="43">
      <c r="A43" t="inlineStr">
        <is>
          <t>Y3 change in working capital</t>
        </is>
      </c>
      <c r="B43" t="inlineStr">
        <is>
          <t>dnwc_3</t>
        </is>
      </c>
      <c r="C43" s="4">
        <f>$C$38*$C$12</f>
        <v/>
      </c>
      <c r="D43" s="4" t="n">
        <v>0</v>
      </c>
      <c r="E43" t="inlineStr">
        <is>
          <t>cash_flow.delta_nwc.2</t>
        </is>
      </c>
      <c r="F43" t="inlineStr">
        <is>
          <t>money, to 0.01</t>
        </is>
      </c>
    </row>
    <row r="44">
      <c r="A44" t="inlineStr">
        <is>
          <t>Y1 interest expense</t>
        </is>
      </c>
      <c r="B44" t="inlineStr">
        <is>
          <t>int_1</t>
        </is>
      </c>
      <c r="C44" s="4">
        <f>$C$22*$C$17</f>
        <v/>
      </c>
      <c r="D44" s="4" t="n">
        <v>40</v>
      </c>
      <c r="E44" t="inlineStr">
        <is>
          <t>operating_model.interest_expense.0</t>
        </is>
      </c>
      <c r="F44" t="inlineStr">
        <is>
          <t>money, to 0.01</t>
        </is>
      </c>
    </row>
    <row r="45">
      <c r="A45" t="inlineStr">
        <is>
          <t>Y1 profit before tax = EBIT - interest + interest income</t>
        </is>
      </c>
      <c r="B45" t="inlineStr">
        <is>
          <t>ebt_1</t>
        </is>
      </c>
      <c r="C45" s="4">
        <f>$C$27-$C$44+0</f>
        <v/>
      </c>
      <c r="D45" s="4" t="n">
        <v>40</v>
      </c>
      <c r="E45" t="inlineStr">
        <is>
          <t>operating_model.ebt.0</t>
        </is>
      </c>
      <c r="F45" t="inlineStr">
        <is>
          <t>money, to 0.01</t>
        </is>
      </c>
    </row>
    <row r="46">
      <c r="A46" t="inlineStr">
        <is>
          <t>Y1 tax</t>
        </is>
      </c>
      <c r="B46" t="inlineStr">
        <is>
          <t>tax_1</t>
        </is>
      </c>
      <c r="C46" s="4">
        <f>MAX($C$45,0)*$C$13</f>
        <v/>
      </c>
      <c r="D46" s="4" t="n">
        <v>10</v>
      </c>
      <c r="E46" t="inlineStr">
        <is>
          <t>operating_model.taxes.0</t>
        </is>
      </c>
      <c r="F46" t="inlineStr">
        <is>
          <t>money, to 0.01</t>
        </is>
      </c>
    </row>
    <row r="47">
      <c r="A47" t="inlineStr">
        <is>
          <t>Y1 net income</t>
        </is>
      </c>
      <c r="B47" t="inlineStr">
        <is>
          <t>ni_1</t>
        </is>
      </c>
      <c r="C47" s="4">
        <f>$C$45-$C$46</f>
        <v/>
      </c>
      <c r="D47" s="4" t="n">
        <v>30</v>
      </c>
      <c r="E47" t="inlineStr">
        <is>
          <t>operating_model.net_income.0</t>
        </is>
      </c>
      <c r="F47" t="inlineStr">
        <is>
          <t>money, to 0.01</t>
        </is>
      </c>
    </row>
    <row r="48">
      <c r="A48" t="inlineStr">
        <is>
          <t>Y1 levered free cash flow (before repaying debt)</t>
        </is>
      </c>
      <c r="B48" t="inlineStr">
        <is>
          <t>fcf_1</t>
        </is>
      </c>
      <c r="C48" s="4">
        <f>$C$47+$C$28-$C$30-$C$31</f>
        <v/>
      </c>
      <c r="D48" s="4" t="n">
        <v>30</v>
      </c>
      <c r="E48" t="inlineStr">
        <is>
          <t>cash_flow.levered_fcf.0</t>
        </is>
      </c>
      <c r="F48" t="inlineStr">
        <is>
          <t>money, to 0.01</t>
        </is>
      </c>
    </row>
    <row r="49">
      <c r="A49" t="inlineStr">
        <is>
          <t>Y1 closing cash above the minimum</t>
        </is>
      </c>
      <c r="B49" t="inlineStr">
        <is>
          <t>cash_1</t>
        </is>
      </c>
      <c r="C49" s="4">
        <f>0+$C$48</f>
        <v/>
      </c>
      <c r="D49" s="4" t="n">
        <v>30</v>
      </c>
    </row>
    <row r="50">
      <c r="A50" t="inlineStr">
        <is>
          <t>Y1 Notes closing balance</t>
        </is>
      </c>
      <c r="B50" t="inlineStr">
        <is>
          <t>bal_1</t>
        </is>
      </c>
      <c r="C50" s="4">
        <f>$C$22</f>
        <v/>
      </c>
      <c r="D50" s="4" t="n">
        <v>400</v>
      </c>
      <c r="E50" t="inlineStr">
        <is>
          <t>tranches.Notes.0.ending_balance</t>
        </is>
      </c>
      <c r="F50" t="inlineStr">
        <is>
          <t>money, to 0.01</t>
        </is>
      </c>
    </row>
    <row r="51">
      <c r="A51" t="inlineStr">
        <is>
          <t>Y2 interest expense</t>
        </is>
      </c>
      <c r="B51" t="inlineStr">
        <is>
          <t>int_2</t>
        </is>
      </c>
      <c r="C51" s="4">
        <f>$C$22*$C$17</f>
        <v/>
      </c>
      <c r="D51" s="4" t="n">
        <v>40</v>
      </c>
      <c r="E51" t="inlineStr">
        <is>
          <t>operating_model.interest_expense.1</t>
        </is>
      </c>
      <c r="F51" t="inlineStr">
        <is>
          <t>money, to 0.01</t>
        </is>
      </c>
    </row>
    <row r="52">
      <c r="A52" t="inlineStr">
        <is>
          <t>Y2 profit before tax = EBIT - interest + interest income</t>
        </is>
      </c>
      <c r="B52" t="inlineStr">
        <is>
          <t>ebt_2</t>
        </is>
      </c>
      <c r="C52" s="4">
        <f>$C$33-$C$51+0</f>
        <v/>
      </c>
      <c r="D52" s="4" t="n">
        <v>40</v>
      </c>
      <c r="E52" t="inlineStr">
        <is>
          <t>operating_model.ebt.1</t>
        </is>
      </c>
      <c r="F52" t="inlineStr">
        <is>
          <t>money, to 0.01</t>
        </is>
      </c>
    </row>
    <row r="53">
      <c r="A53" t="inlineStr">
        <is>
          <t>Y2 tax</t>
        </is>
      </c>
      <c r="B53" t="inlineStr">
        <is>
          <t>tax_2</t>
        </is>
      </c>
      <c r="C53" s="4">
        <f>MAX($C$52,0)*$C$13</f>
        <v/>
      </c>
      <c r="D53" s="4" t="n">
        <v>10</v>
      </c>
      <c r="E53" t="inlineStr">
        <is>
          <t>operating_model.taxes.1</t>
        </is>
      </c>
      <c r="F53" t="inlineStr">
        <is>
          <t>money, to 0.01</t>
        </is>
      </c>
    </row>
    <row r="54">
      <c r="A54" t="inlineStr">
        <is>
          <t>Y2 net income</t>
        </is>
      </c>
      <c r="B54" t="inlineStr">
        <is>
          <t>ni_2</t>
        </is>
      </c>
      <c r="C54" s="4">
        <f>$C$52-$C$53</f>
        <v/>
      </c>
      <c r="D54" s="4" t="n">
        <v>30</v>
      </c>
      <c r="E54" t="inlineStr">
        <is>
          <t>operating_model.net_income.1</t>
        </is>
      </c>
      <c r="F54" t="inlineStr">
        <is>
          <t>money, to 0.01</t>
        </is>
      </c>
    </row>
    <row r="55">
      <c r="A55" t="inlineStr">
        <is>
          <t>Y2 levered free cash flow (before repaying debt)</t>
        </is>
      </c>
      <c r="B55" t="inlineStr">
        <is>
          <t>fcf_2</t>
        </is>
      </c>
      <c r="C55" s="4">
        <f>$C$54+$C$34-$C$36-$C$37</f>
        <v/>
      </c>
      <c r="D55" s="4" t="n">
        <v>30</v>
      </c>
      <c r="E55" t="inlineStr">
        <is>
          <t>cash_flow.levered_fcf.1</t>
        </is>
      </c>
      <c r="F55" t="inlineStr">
        <is>
          <t>money, to 0.01</t>
        </is>
      </c>
    </row>
    <row r="56">
      <c r="A56" t="inlineStr">
        <is>
          <t>Y2 closing cash above the minimum</t>
        </is>
      </c>
      <c r="B56" t="inlineStr">
        <is>
          <t>cash_2</t>
        </is>
      </c>
      <c r="C56" s="4">
        <f>$C$49+$C$55</f>
        <v/>
      </c>
      <c r="D56" s="4" t="n">
        <v>60</v>
      </c>
    </row>
    <row r="57">
      <c r="A57" t="inlineStr">
        <is>
          <t>Y2 Notes closing balance</t>
        </is>
      </c>
      <c r="B57" t="inlineStr">
        <is>
          <t>bal_2</t>
        </is>
      </c>
      <c r="C57" s="4">
        <f>$C$22</f>
        <v/>
      </c>
      <c r="D57" s="4" t="n">
        <v>400</v>
      </c>
      <c r="E57" t="inlineStr">
        <is>
          <t>tranches.Notes.1.ending_balance</t>
        </is>
      </c>
      <c r="F57" t="inlineStr">
        <is>
          <t>money, to 0.01</t>
        </is>
      </c>
    </row>
    <row r="58">
      <c r="A58" t="inlineStr">
        <is>
          <t>Y3 interest expense</t>
        </is>
      </c>
      <c r="B58" t="inlineStr">
        <is>
          <t>int_3</t>
        </is>
      </c>
      <c r="C58" s="4">
        <f>$C$22*$C$17</f>
        <v/>
      </c>
      <c r="D58" s="4" t="n">
        <v>40</v>
      </c>
      <c r="E58" t="inlineStr">
        <is>
          <t>operating_model.interest_expense.2</t>
        </is>
      </c>
      <c r="F58" t="inlineStr">
        <is>
          <t>money, to 0.01</t>
        </is>
      </c>
    </row>
    <row r="59">
      <c r="A59" t="inlineStr">
        <is>
          <t>Y3 profit before tax = EBIT - interest + interest income</t>
        </is>
      </c>
      <c r="B59" t="inlineStr">
        <is>
          <t>ebt_3</t>
        </is>
      </c>
      <c r="C59" s="4">
        <f>$C$39-$C$58+0</f>
        <v/>
      </c>
      <c r="D59" s="4" t="n">
        <v>40</v>
      </c>
      <c r="E59" t="inlineStr">
        <is>
          <t>operating_model.ebt.2</t>
        </is>
      </c>
      <c r="F59" t="inlineStr">
        <is>
          <t>money, to 0.01</t>
        </is>
      </c>
    </row>
    <row r="60">
      <c r="A60" t="inlineStr">
        <is>
          <t>Y3 tax</t>
        </is>
      </c>
      <c r="B60" t="inlineStr">
        <is>
          <t>tax_3</t>
        </is>
      </c>
      <c r="C60" s="4">
        <f>MAX($C$59,0)*$C$13</f>
        <v/>
      </c>
      <c r="D60" s="4" t="n">
        <v>10</v>
      </c>
      <c r="E60" t="inlineStr">
        <is>
          <t>operating_model.taxes.2</t>
        </is>
      </c>
      <c r="F60" t="inlineStr">
        <is>
          <t>money, to 0.01</t>
        </is>
      </c>
    </row>
    <row r="61">
      <c r="A61" t="inlineStr">
        <is>
          <t>Y3 net income</t>
        </is>
      </c>
      <c r="B61" t="inlineStr">
        <is>
          <t>ni_3</t>
        </is>
      </c>
      <c r="C61" s="4">
        <f>$C$59-$C$60</f>
        <v/>
      </c>
      <c r="D61" s="4" t="n">
        <v>30</v>
      </c>
      <c r="E61" t="inlineStr">
        <is>
          <t>operating_model.net_income.2</t>
        </is>
      </c>
      <c r="F61" t="inlineStr">
        <is>
          <t>money, to 0.01</t>
        </is>
      </c>
    </row>
    <row r="62">
      <c r="A62" t="inlineStr">
        <is>
          <t>Y3 levered free cash flow (before repaying debt)</t>
        </is>
      </c>
      <c r="B62" t="inlineStr">
        <is>
          <t>fcf_3</t>
        </is>
      </c>
      <c r="C62" s="4">
        <f>$C$61+$C$40-$C$42-$C$43</f>
        <v/>
      </c>
      <c r="D62" s="4" t="n">
        <v>30</v>
      </c>
      <c r="E62" t="inlineStr">
        <is>
          <t>cash_flow.levered_fcf.2</t>
        </is>
      </c>
      <c r="F62" t="inlineStr">
        <is>
          <t>money, to 0.01</t>
        </is>
      </c>
    </row>
    <row r="63">
      <c r="A63" t="inlineStr">
        <is>
          <t>Y3 closing cash above the minimum</t>
        </is>
      </c>
      <c r="B63" t="inlineStr">
        <is>
          <t>cash_3</t>
        </is>
      </c>
      <c r="C63" s="4">
        <f>$C$56+$C$62</f>
        <v/>
      </c>
      <c r="D63" s="4" t="n">
        <v>90</v>
      </c>
    </row>
    <row r="64">
      <c r="A64" t="inlineStr">
        <is>
          <t>Y3 Notes closing balance</t>
        </is>
      </c>
      <c r="B64" t="inlineStr">
        <is>
          <t>bal_3</t>
        </is>
      </c>
      <c r="C64" s="4">
        <f>$C$22</f>
        <v/>
      </c>
      <c r="D64" s="4" t="n">
        <v>400</v>
      </c>
      <c r="E64" t="inlineStr">
        <is>
          <t>tranches.Notes.2.ending_balance</t>
        </is>
      </c>
      <c r="F64" t="inlineStr">
        <is>
          <t>money, to 0.01</t>
        </is>
      </c>
    </row>
    <row r="65">
      <c r="A65" t="inlineStr">
        <is>
          <t>Net debt at exit (debt - cash + lease liability)</t>
        </is>
      </c>
      <c r="B65" t="inlineStr">
        <is>
          <t>net_debt_exit</t>
        </is>
      </c>
      <c r="C65" s="4">
        <f>$C$64-$C$63</f>
        <v/>
      </c>
      <c r="D65" s="4" t="n">
        <v>310</v>
      </c>
      <c r="E65" t="inlineStr">
        <is>
          <t>returns.net_debt_at_exit</t>
        </is>
      </c>
      <c r="F65" t="inlineStr">
        <is>
          <t>money, to 0.01</t>
        </is>
      </c>
    </row>
    <row r="66">
      <c r="A66" t="inlineStr">
        <is>
          <t>Exit EV = (final-year EBITDA + lease add-back) x exit multiple</t>
        </is>
      </c>
      <c r="B66" t="inlineStr">
        <is>
          <t>exit_ev</t>
        </is>
      </c>
      <c r="C66" s="4">
        <f>($C$41+0)*$C$15</f>
        <v/>
      </c>
      <c r="D66" s="4" t="n">
        <v>800</v>
      </c>
      <c r="E66" t="inlineStr">
        <is>
          <t>returns.exit_ev</t>
        </is>
      </c>
      <c r="F66" t="inlineStr">
        <is>
          <t>money, to 0.01</t>
        </is>
      </c>
    </row>
    <row r="67">
      <c r="A67" t="inlineStr">
        <is>
          <t>Exit equity = exit EV - net debt</t>
        </is>
      </c>
      <c r="B67" t="inlineStr">
        <is>
          <t>exit_equity</t>
        </is>
      </c>
      <c r="C67" s="4">
        <f>$C$66-$C$65</f>
        <v/>
      </c>
      <c r="D67" s="4" t="n">
        <v>490</v>
      </c>
      <c r="E67" t="inlineStr">
        <is>
          <t>returns.net_exit_equity</t>
        </is>
      </c>
      <c r="F67" t="inlineStr">
        <is>
          <t>money, to 0.01</t>
        </is>
      </c>
    </row>
    <row r="68">
      <c r="A68" t="inlineStr">
        <is>
          <t>MOIC = exit equity / entry equity</t>
        </is>
      </c>
      <c r="B68" t="inlineStr">
        <is>
          <t>moic</t>
        </is>
      </c>
      <c r="C68" s="5">
        <f>$C$67/$C$24</f>
        <v/>
      </c>
      <c r="D68" s="5" t="n">
        <v>1.225</v>
      </c>
      <c r="E68" t="inlineStr">
        <is>
          <t>returns.moic</t>
        </is>
      </c>
      <c r="F68" t="inlineStr">
        <is>
          <t>multiple, to 0.01</t>
        </is>
      </c>
    </row>
    <row r="69">
      <c r="A69" t="inlineStr">
        <is>
          <t>IRR = MOIC ^ (1 / years) - 1</t>
        </is>
      </c>
      <c r="B69" t="inlineStr">
        <is>
          <t>irr</t>
        </is>
      </c>
      <c r="C69" s="6">
        <f>$C$68^(1/$C$16)-1</f>
        <v/>
      </c>
      <c r="D69" s="6" t="n">
        <v>0.06998748056507953</v>
      </c>
      <c r="E69" t="inlineStr">
        <is>
          <t>returns.irr</t>
        </is>
      </c>
      <c r="F69" t="inlineStr">
        <is>
          <t>per cent, to 0.01</t>
        </is>
      </c>
    </row>
    <row r="71">
      <c r="A71" s="3" t="inlineStr">
        <is>
          <t>Headline answers, typed by hand</t>
        </is>
      </c>
    </row>
    <row r="72">
      <c r="A72" t="inlineStr">
        <is>
          <t>Sponsor equity = EV + costs + minimum cash - debt - lease liability</t>
        </is>
      </c>
      <c r="B72" t="inlineStr">
        <is>
          <t>equity</t>
        </is>
      </c>
      <c r="D72" s="4" t="n">
        <v>400</v>
      </c>
    </row>
    <row r="73">
      <c r="A73" t="inlineStr">
        <is>
          <t>Exit equity = exit EV - net debt</t>
        </is>
      </c>
      <c r="B73" t="inlineStr">
        <is>
          <t>exit_equity</t>
        </is>
      </c>
      <c r="D73" s="4" t="n">
        <v>490</v>
      </c>
    </row>
  </sheetData>
  <mergeCells count="1">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3. One tranche, full cash sweep</t>
        </is>
      </c>
    </row>
    <row r="2">
      <c r="A2" t="inlineStr">
        <is>
          <t>Covers: single tranche, zero growth</t>
        </is>
      </c>
    </row>
    <row r="3" ht="90" customHeight="1">
      <c r="A3" s="2" t="inlineStr">
        <is>
          <t>400 at 10%, no scheduled repayment, every spare unit of cash swept. Year 1: interest 40, net income 30, the loan falls to 370. Year 2: interest 37, net income 32.25, 337.75. Year 3: interest 33.775, net income 34.66875, 303.08125 left at exit.</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9">
      <c r="A19" s="3" t="inlineStr">
        <is>
          <t>Working</t>
        </is>
      </c>
      <c r="B19" s="3" t="inlineStr">
        <is>
          <t>Name</t>
        </is>
      </c>
      <c r="C19" s="3" t="inlineStr">
        <is>
          <t>Formula</t>
        </is>
      </c>
      <c r="D19" s="3" t="inlineStr">
        <is>
          <t>Comes to</t>
        </is>
      </c>
      <c r="E19" s="3" t="inlineStr">
        <is>
          <t>Engine figure it must match</t>
        </is>
      </c>
      <c r="F19" s="3" t="inlineStr">
        <is>
          <t>Compared as</t>
        </is>
      </c>
    </row>
    <row r="20">
      <c r="A20" t="inlineStr">
        <is>
          <t>Operating EBITDA (what the model grows)</t>
        </is>
      </c>
      <c r="B20" t="inlineStr">
        <is>
          <t>op_ebitda</t>
        </is>
      </c>
      <c r="C20" s="4">
        <f>$C$6</f>
        <v/>
      </c>
      <c r="D20" s="4" t="n">
        <v>100</v>
      </c>
    </row>
    <row r="21">
      <c r="A21" t="inlineStr">
        <is>
          <t>Entry EV = (EBITDA + lease add-back) x entry multiple</t>
        </is>
      </c>
      <c r="B21" t="inlineStr">
        <is>
          <t>ev</t>
        </is>
      </c>
      <c r="C21" s="4">
        <f>($C$20+0)*$C$14</f>
        <v/>
      </c>
      <c r="D21" s="4" t="n">
        <v>800</v>
      </c>
    </row>
    <row r="22">
      <c r="A22" t="inlineStr">
        <is>
          <t>Debt drawn at close</t>
        </is>
      </c>
      <c r="B22" t="inlineStr">
        <is>
          <t>debt</t>
        </is>
      </c>
      <c r="C22" s="4">
        <f>400</f>
        <v/>
      </c>
      <c r="D22" s="4" t="n">
        <v>400</v>
      </c>
    </row>
    <row r="23">
      <c r="A23" t="inlineStr">
        <is>
          <t>Entry costs (fees and other uses)</t>
        </is>
      </c>
      <c r="B23" t="inlineStr">
        <is>
          <t>costs</t>
        </is>
      </c>
      <c r="C23" s="4">
        <f>0</f>
        <v/>
      </c>
      <c r="D23" s="4" t="n">
        <v>0</v>
      </c>
    </row>
    <row r="24">
      <c r="A24" t="inlineStr">
        <is>
          <t>Sponsor equity = EV + costs + minimum cash - debt - lease liability</t>
        </is>
      </c>
      <c r="B24" t="inlineStr">
        <is>
          <t>equity</t>
        </is>
      </c>
      <c r="C24" s="4">
        <f>$C$21+$C$23+0-$C$22-0</f>
        <v/>
      </c>
      <c r="D24" s="4" t="n">
        <v>400</v>
      </c>
      <c r="E24" t="inlineStr">
        <is>
          <t>returns.entry_equity</t>
        </is>
      </c>
      <c r="F24" t="inlineStr">
        <is>
          <t>money, to 0.01</t>
        </is>
      </c>
    </row>
    <row r="25">
      <c r="A25" t="inlineStr">
        <is>
          <t>Base revenue = EBITDA / (gross margin - opex + D&amp;A)</t>
        </is>
      </c>
      <c r="B25" t="inlineStr">
        <is>
          <t>rev_0</t>
        </is>
      </c>
      <c r="C25" s="4">
        <f>$C$6/($C$7-$C$8+$C$9)</f>
        <v/>
      </c>
      <c r="D25" s="4" t="n">
        <v>400</v>
      </c>
    </row>
    <row r="26">
      <c r="A26" t="inlineStr">
        <is>
          <t>Y1 revenue</t>
        </is>
      </c>
      <c r="B26" t="inlineStr">
        <is>
          <t>rev_1</t>
        </is>
      </c>
      <c r="C26" s="4">
        <f>$C$25*(1+$C$10)</f>
        <v/>
      </c>
      <c r="D26" s="4" t="n">
        <v>400</v>
      </c>
      <c r="E26" t="inlineStr">
        <is>
          <t>operating_model.revenue.0</t>
        </is>
      </c>
      <c r="F26" t="inlineStr">
        <is>
          <t>money, to 0.01</t>
        </is>
      </c>
    </row>
    <row r="27">
      <c r="A27" t="inlineStr">
        <is>
          <t>Y1 EBIT = revenue x (gross margin - opex)</t>
        </is>
      </c>
      <c r="B27" t="inlineStr">
        <is>
          <t>ebit_1</t>
        </is>
      </c>
      <c r="C27" s="4">
        <f>$C$26*($C$7-$C$8)</f>
        <v/>
      </c>
      <c r="D27" s="4" t="n">
        <v>80</v>
      </c>
      <c r="E27" t="inlineStr">
        <is>
          <t>operating_model.ebit.0</t>
        </is>
      </c>
      <c r="F27" t="inlineStr">
        <is>
          <t>money, to 0.01</t>
        </is>
      </c>
    </row>
    <row r="28">
      <c r="A28" t="inlineStr">
        <is>
          <t>Y1 D&amp;A</t>
        </is>
      </c>
      <c r="B28" t="inlineStr">
        <is>
          <t>da_1</t>
        </is>
      </c>
      <c r="C28" s="4">
        <f>$C$26*$C$9</f>
        <v/>
      </c>
      <c r="D28" s="4" t="n">
        <v>20</v>
      </c>
      <c r="E28" t="inlineStr">
        <is>
          <t>operating_model.da.0</t>
        </is>
      </c>
      <c r="F28" t="inlineStr">
        <is>
          <t>money, to 0.01</t>
        </is>
      </c>
    </row>
    <row r="29">
      <c r="A29" t="inlineStr">
        <is>
          <t>Y1 EBITDA</t>
        </is>
      </c>
      <c r="B29" t="inlineStr">
        <is>
          <t>ebitda_1</t>
        </is>
      </c>
      <c r="C29" s="4">
        <f>$C$27+$C$28</f>
        <v/>
      </c>
      <c r="D29" s="4" t="n">
        <v>100</v>
      </c>
      <c r="E29" t="inlineStr">
        <is>
          <t>operating_model.ebitda.0</t>
        </is>
      </c>
      <c r="F29" t="inlineStr">
        <is>
          <t>money, to 0.01</t>
        </is>
      </c>
    </row>
    <row r="30">
      <c r="A30" t="inlineStr">
        <is>
          <t>Y1 capex</t>
        </is>
      </c>
      <c r="B30" t="inlineStr">
        <is>
          <t>capex_1</t>
        </is>
      </c>
      <c r="C30" s="4">
        <f>$C$26*$C$11</f>
        <v/>
      </c>
      <c r="D30" s="4" t="n">
        <v>20</v>
      </c>
      <c r="E30" t="inlineStr">
        <is>
          <t>cash_flow.capex.0</t>
        </is>
      </c>
      <c r="F30" t="inlineStr">
        <is>
          <t>money, to 0.01</t>
        </is>
      </c>
    </row>
    <row r="31">
      <c r="A31" t="inlineStr">
        <is>
          <t>Y1 change in working capital</t>
        </is>
      </c>
      <c r="B31" t="inlineStr">
        <is>
          <t>dnwc_1</t>
        </is>
      </c>
      <c r="C31" s="4">
        <f>$C$26*$C$12</f>
        <v/>
      </c>
      <c r="D31" s="4" t="n">
        <v>0</v>
      </c>
      <c r="E31" t="inlineStr">
        <is>
          <t>cash_flow.delta_nwc.0</t>
        </is>
      </c>
      <c r="F31" t="inlineStr">
        <is>
          <t>money, to 0.01</t>
        </is>
      </c>
    </row>
    <row r="32">
      <c r="A32" t="inlineStr">
        <is>
          <t>Y2 revenue</t>
        </is>
      </c>
      <c r="B32" t="inlineStr">
        <is>
          <t>rev_2</t>
        </is>
      </c>
      <c r="C32" s="4">
        <f>$C$26*(1+$C$10)</f>
        <v/>
      </c>
      <c r="D32" s="4" t="n">
        <v>400</v>
      </c>
      <c r="E32" t="inlineStr">
        <is>
          <t>operating_model.revenue.1</t>
        </is>
      </c>
      <c r="F32" t="inlineStr">
        <is>
          <t>money, to 0.01</t>
        </is>
      </c>
    </row>
    <row r="33">
      <c r="A33" t="inlineStr">
        <is>
          <t>Y2 EBIT = revenue x (gross margin - opex)</t>
        </is>
      </c>
      <c r="B33" t="inlineStr">
        <is>
          <t>ebit_2</t>
        </is>
      </c>
      <c r="C33" s="4">
        <f>$C$32*($C$7-$C$8)</f>
        <v/>
      </c>
      <c r="D33" s="4" t="n">
        <v>80</v>
      </c>
      <c r="E33" t="inlineStr">
        <is>
          <t>operating_model.ebit.1</t>
        </is>
      </c>
      <c r="F33" t="inlineStr">
        <is>
          <t>money, to 0.01</t>
        </is>
      </c>
    </row>
    <row r="34">
      <c r="A34" t="inlineStr">
        <is>
          <t>Y2 D&amp;A</t>
        </is>
      </c>
      <c r="B34" t="inlineStr">
        <is>
          <t>da_2</t>
        </is>
      </c>
      <c r="C34" s="4">
        <f>$C$32*$C$9</f>
        <v/>
      </c>
      <c r="D34" s="4" t="n">
        <v>20</v>
      </c>
      <c r="E34" t="inlineStr">
        <is>
          <t>operating_model.da.1</t>
        </is>
      </c>
      <c r="F34" t="inlineStr">
        <is>
          <t>money, to 0.01</t>
        </is>
      </c>
    </row>
    <row r="35">
      <c r="A35" t="inlineStr">
        <is>
          <t>Y2 EBITDA</t>
        </is>
      </c>
      <c r="B35" t="inlineStr">
        <is>
          <t>ebitda_2</t>
        </is>
      </c>
      <c r="C35" s="4">
        <f>$C$33+$C$34</f>
        <v/>
      </c>
      <c r="D35" s="4" t="n">
        <v>100</v>
      </c>
      <c r="E35" t="inlineStr">
        <is>
          <t>operating_model.ebitda.1</t>
        </is>
      </c>
      <c r="F35" t="inlineStr">
        <is>
          <t>money, to 0.01</t>
        </is>
      </c>
    </row>
    <row r="36">
      <c r="A36" t="inlineStr">
        <is>
          <t>Y2 capex</t>
        </is>
      </c>
      <c r="B36" t="inlineStr">
        <is>
          <t>capex_2</t>
        </is>
      </c>
      <c r="C36" s="4">
        <f>$C$32*$C$11</f>
        <v/>
      </c>
      <c r="D36" s="4" t="n">
        <v>20</v>
      </c>
      <c r="E36" t="inlineStr">
        <is>
          <t>cash_flow.capex.1</t>
        </is>
      </c>
      <c r="F36" t="inlineStr">
        <is>
          <t>money, to 0.01</t>
        </is>
      </c>
    </row>
    <row r="37">
      <c r="A37" t="inlineStr">
        <is>
          <t>Y2 change in working capital</t>
        </is>
      </c>
      <c r="B37" t="inlineStr">
        <is>
          <t>dnwc_2</t>
        </is>
      </c>
      <c r="C37" s="4">
        <f>$C$32*$C$12</f>
        <v/>
      </c>
      <c r="D37" s="4" t="n">
        <v>0</v>
      </c>
      <c r="E37" t="inlineStr">
        <is>
          <t>cash_flow.delta_nwc.1</t>
        </is>
      </c>
      <c r="F37" t="inlineStr">
        <is>
          <t>money, to 0.01</t>
        </is>
      </c>
    </row>
    <row r="38">
      <c r="A38" t="inlineStr">
        <is>
          <t>Y3 revenue</t>
        </is>
      </c>
      <c r="B38" t="inlineStr">
        <is>
          <t>rev_3</t>
        </is>
      </c>
      <c r="C38" s="4">
        <f>$C$32*(1+$C$10)</f>
        <v/>
      </c>
      <c r="D38" s="4" t="n">
        <v>400</v>
      </c>
      <c r="E38" t="inlineStr">
        <is>
          <t>operating_model.revenue.2</t>
        </is>
      </c>
      <c r="F38" t="inlineStr">
        <is>
          <t>money, to 0.01</t>
        </is>
      </c>
    </row>
    <row r="39">
      <c r="A39" t="inlineStr">
        <is>
          <t>Y3 EBIT = revenue x (gross margin - opex)</t>
        </is>
      </c>
      <c r="B39" t="inlineStr">
        <is>
          <t>ebit_3</t>
        </is>
      </c>
      <c r="C39" s="4">
        <f>$C$38*($C$7-$C$8)</f>
        <v/>
      </c>
      <c r="D39" s="4" t="n">
        <v>80</v>
      </c>
      <c r="E39" t="inlineStr">
        <is>
          <t>operating_model.ebit.2</t>
        </is>
      </c>
      <c r="F39" t="inlineStr">
        <is>
          <t>money, to 0.01</t>
        </is>
      </c>
    </row>
    <row r="40">
      <c r="A40" t="inlineStr">
        <is>
          <t>Y3 D&amp;A</t>
        </is>
      </c>
      <c r="B40" t="inlineStr">
        <is>
          <t>da_3</t>
        </is>
      </c>
      <c r="C40" s="4">
        <f>$C$38*$C$9</f>
        <v/>
      </c>
      <c r="D40" s="4" t="n">
        <v>20</v>
      </c>
      <c r="E40" t="inlineStr">
        <is>
          <t>operating_model.da.2</t>
        </is>
      </c>
      <c r="F40" t="inlineStr">
        <is>
          <t>money, to 0.01</t>
        </is>
      </c>
    </row>
    <row r="41">
      <c r="A41" t="inlineStr">
        <is>
          <t>Y3 EBITDA</t>
        </is>
      </c>
      <c r="B41" t="inlineStr">
        <is>
          <t>ebitda_3</t>
        </is>
      </c>
      <c r="C41" s="4">
        <f>$C$39+$C$40</f>
        <v/>
      </c>
      <c r="D41" s="4" t="n">
        <v>100</v>
      </c>
      <c r="E41" t="inlineStr">
        <is>
          <t>operating_model.ebitda.2</t>
        </is>
      </c>
      <c r="F41" t="inlineStr">
        <is>
          <t>money, to 0.01</t>
        </is>
      </c>
    </row>
    <row r="42">
      <c r="A42" t="inlineStr">
        <is>
          <t>Y3 capex</t>
        </is>
      </c>
      <c r="B42" t="inlineStr">
        <is>
          <t>capex_3</t>
        </is>
      </c>
      <c r="C42" s="4">
        <f>$C$38*$C$11</f>
        <v/>
      </c>
      <c r="D42" s="4" t="n">
        <v>20</v>
      </c>
      <c r="E42" t="inlineStr">
        <is>
          <t>cash_flow.capex.2</t>
        </is>
      </c>
      <c r="F42" t="inlineStr">
        <is>
          <t>money, to 0.01</t>
        </is>
      </c>
    </row>
    <row r="43">
      <c r="A43" t="inlineStr">
        <is>
          <t>Y3 change in working capital</t>
        </is>
      </c>
      <c r="B43" t="inlineStr">
        <is>
          <t>dnwc_3</t>
        </is>
      </c>
      <c r="C43" s="4">
        <f>$C$38*$C$12</f>
        <v/>
      </c>
      <c r="D43" s="4" t="n">
        <v>0</v>
      </c>
      <c r="E43" t="inlineStr">
        <is>
          <t>cash_flow.delta_nwc.2</t>
        </is>
      </c>
      <c r="F43" t="inlineStr">
        <is>
          <t>money, to 0.01</t>
        </is>
      </c>
    </row>
    <row r="44">
      <c r="A44" t="inlineStr">
        <is>
          <t>Term loan at close</t>
        </is>
      </c>
      <c r="B44" t="inlineStr">
        <is>
          <t>bal_0</t>
        </is>
      </c>
      <c r="C44" s="4">
        <f>$C$22</f>
        <v/>
      </c>
      <c r="D44" s="4" t="n">
        <v>400</v>
      </c>
    </row>
    <row r="45">
      <c r="A45" t="inlineStr">
        <is>
          <t>Y1 Term loan opening balance</t>
        </is>
      </c>
      <c r="B45" t="inlineStr">
        <is>
          <t>opening_1</t>
        </is>
      </c>
      <c r="C45" s="4">
        <f>$C$44</f>
        <v/>
      </c>
      <c r="D45" s="4" t="n">
        <v>400</v>
      </c>
      <c r="E45" t="inlineStr">
        <is>
          <t>tranches.Term loan.0.beginning_balance</t>
        </is>
      </c>
      <c r="F45" t="inlineStr">
        <is>
          <t>money, to 0.01</t>
        </is>
      </c>
    </row>
    <row r="46">
      <c r="A46" t="inlineStr">
        <is>
          <t>Y1 interest expense</t>
        </is>
      </c>
      <c r="B46" t="inlineStr">
        <is>
          <t>int_1</t>
        </is>
      </c>
      <c r="C46" s="4">
        <f>$C$44*$C$17</f>
        <v/>
      </c>
      <c r="D46" s="4" t="n">
        <v>40</v>
      </c>
      <c r="E46" t="inlineStr">
        <is>
          <t>operating_model.interest_expense.0</t>
        </is>
      </c>
      <c r="F46" t="inlineStr">
        <is>
          <t>money, to 0.01</t>
        </is>
      </c>
    </row>
    <row r="47">
      <c r="A47" t="inlineStr">
        <is>
          <t>Y1 profit before tax = EBIT - interest + interest income</t>
        </is>
      </c>
      <c r="B47" t="inlineStr">
        <is>
          <t>ebt_1</t>
        </is>
      </c>
      <c r="C47" s="4">
        <f>$C$27-$C$46+0</f>
        <v/>
      </c>
      <c r="D47" s="4" t="n">
        <v>40</v>
      </c>
      <c r="E47" t="inlineStr">
        <is>
          <t>operating_model.ebt.0</t>
        </is>
      </c>
      <c r="F47" t="inlineStr">
        <is>
          <t>money, to 0.01</t>
        </is>
      </c>
    </row>
    <row r="48">
      <c r="A48" t="inlineStr">
        <is>
          <t>Y1 tax</t>
        </is>
      </c>
      <c r="B48" t="inlineStr">
        <is>
          <t>tax_1</t>
        </is>
      </c>
      <c r="C48" s="4">
        <f>MAX($C$47,0)*$C$13</f>
        <v/>
      </c>
      <c r="D48" s="4" t="n">
        <v>10</v>
      </c>
      <c r="E48" t="inlineStr">
        <is>
          <t>operating_model.taxes.0</t>
        </is>
      </c>
      <c r="F48" t="inlineStr">
        <is>
          <t>money, to 0.01</t>
        </is>
      </c>
    </row>
    <row r="49">
      <c r="A49" t="inlineStr">
        <is>
          <t>Y1 net income</t>
        </is>
      </c>
      <c r="B49" t="inlineStr">
        <is>
          <t>ni_1</t>
        </is>
      </c>
      <c r="C49" s="4">
        <f>$C$47-$C$48</f>
        <v/>
      </c>
      <c r="D49" s="4" t="n">
        <v>30</v>
      </c>
      <c r="E49" t="inlineStr">
        <is>
          <t>operating_model.net_income.0</t>
        </is>
      </c>
      <c r="F49" t="inlineStr">
        <is>
          <t>money, to 0.01</t>
        </is>
      </c>
    </row>
    <row r="50">
      <c r="A50" t="inlineStr">
        <is>
          <t>Y1 levered free cash flow (before repaying debt)</t>
        </is>
      </c>
      <c r="B50" t="inlineStr">
        <is>
          <t>fcf_1</t>
        </is>
      </c>
      <c r="C50" s="4">
        <f>$C$49+$C$28-$C$30-$C$31</f>
        <v/>
      </c>
      <c r="D50" s="4" t="n">
        <v>30</v>
      </c>
      <c r="E50" t="inlineStr">
        <is>
          <t>cash_flow.levered_fcf.0</t>
        </is>
      </c>
      <c r="F50" t="inlineStr">
        <is>
          <t>money, to 0.01</t>
        </is>
      </c>
    </row>
    <row r="51">
      <c r="A51" t="inlineStr">
        <is>
          <t>Y1 mandatory repayment</t>
        </is>
      </c>
      <c r="B51" t="inlineStr">
        <is>
          <t>mand_1</t>
        </is>
      </c>
      <c r="C51" s="4">
        <f>MIN(0,$C$44)</f>
        <v/>
      </c>
      <c r="D51" s="4" t="n">
        <v>0</v>
      </c>
      <c r="E51" t="inlineStr">
        <is>
          <t>debt_schedule.total_mandatory_repayment.0</t>
        </is>
      </c>
      <c r="F51" t="inlineStr">
        <is>
          <t>money, to 0.01</t>
        </is>
      </c>
    </row>
    <row r="52">
      <c r="A52" t="inlineStr">
        <is>
          <t>Y1 cash sweep = cash left after the mandatory repayment</t>
        </is>
      </c>
      <c r="B52" t="inlineStr">
        <is>
          <t>sweep_1</t>
        </is>
      </c>
      <c r="C52" s="4">
        <f>MIN(MAX($C$50-$C$51,0),$C$44-$C$51)</f>
        <v/>
      </c>
      <c r="D52" s="4" t="n">
        <v>30</v>
      </c>
      <c r="E52" t="inlineStr">
        <is>
          <t>debt_schedule.total_cash_sweep.0</t>
        </is>
      </c>
      <c r="F52" t="inlineStr">
        <is>
          <t>money, to 0.01</t>
        </is>
      </c>
    </row>
    <row r="53">
      <c r="A53" t="inlineStr">
        <is>
          <t>Y1 Term loan closing balance</t>
        </is>
      </c>
      <c r="B53" t="inlineStr">
        <is>
          <t>bal_1</t>
        </is>
      </c>
      <c r="C53" s="4">
        <f>$C$44-$C$51-$C$52</f>
        <v/>
      </c>
      <c r="D53" s="4" t="n">
        <v>370</v>
      </c>
      <c r="E53" t="inlineStr">
        <is>
          <t>tranches.Term loan.0.ending_balance</t>
        </is>
      </c>
      <c r="F53" t="inlineStr">
        <is>
          <t>money, to 0.01</t>
        </is>
      </c>
    </row>
    <row r="54">
      <c r="A54" t="inlineStr">
        <is>
          <t>Y2 Term loan opening balance</t>
        </is>
      </c>
      <c r="B54" t="inlineStr">
        <is>
          <t>opening_2</t>
        </is>
      </c>
      <c r="C54" s="4">
        <f>$C$53</f>
        <v/>
      </c>
      <c r="D54" s="4" t="n">
        <v>370</v>
      </c>
      <c r="E54" t="inlineStr">
        <is>
          <t>tranches.Term loan.1.beginning_balance</t>
        </is>
      </c>
      <c r="F54" t="inlineStr">
        <is>
          <t>money, to 0.01</t>
        </is>
      </c>
    </row>
    <row r="55">
      <c r="A55" t="inlineStr">
        <is>
          <t>Y2 interest expense</t>
        </is>
      </c>
      <c r="B55" t="inlineStr">
        <is>
          <t>int_2</t>
        </is>
      </c>
      <c r="C55" s="4">
        <f>$C$53*$C$17</f>
        <v/>
      </c>
      <c r="D55" s="4" t="n">
        <v>37</v>
      </c>
      <c r="E55" t="inlineStr">
        <is>
          <t>operating_model.interest_expense.1</t>
        </is>
      </c>
      <c r="F55" t="inlineStr">
        <is>
          <t>money, to 0.01</t>
        </is>
      </c>
    </row>
    <row r="56">
      <c r="A56" t="inlineStr">
        <is>
          <t>Y2 profit before tax = EBIT - interest + interest income</t>
        </is>
      </c>
      <c r="B56" t="inlineStr">
        <is>
          <t>ebt_2</t>
        </is>
      </c>
      <c r="C56" s="4">
        <f>$C$33-$C$55+0</f>
        <v/>
      </c>
      <c r="D56" s="4" t="n">
        <v>43</v>
      </c>
      <c r="E56" t="inlineStr">
        <is>
          <t>operating_model.ebt.1</t>
        </is>
      </c>
      <c r="F56" t="inlineStr">
        <is>
          <t>money, to 0.01</t>
        </is>
      </c>
    </row>
    <row r="57">
      <c r="A57" t="inlineStr">
        <is>
          <t>Y2 tax</t>
        </is>
      </c>
      <c r="B57" t="inlineStr">
        <is>
          <t>tax_2</t>
        </is>
      </c>
      <c r="C57" s="4">
        <f>MAX($C$56,0)*$C$13</f>
        <v/>
      </c>
      <c r="D57" s="4" t="n">
        <v>10.75</v>
      </c>
      <c r="E57" t="inlineStr">
        <is>
          <t>operating_model.taxes.1</t>
        </is>
      </c>
      <c r="F57" t="inlineStr">
        <is>
          <t>money, to 0.01</t>
        </is>
      </c>
    </row>
    <row r="58">
      <c r="A58" t="inlineStr">
        <is>
          <t>Y2 net income</t>
        </is>
      </c>
      <c r="B58" t="inlineStr">
        <is>
          <t>ni_2</t>
        </is>
      </c>
      <c r="C58" s="4">
        <f>$C$56-$C$57</f>
        <v/>
      </c>
      <c r="D58" s="4" t="n">
        <v>32.25</v>
      </c>
      <c r="E58" t="inlineStr">
        <is>
          <t>operating_model.net_income.1</t>
        </is>
      </c>
      <c r="F58" t="inlineStr">
        <is>
          <t>money, to 0.01</t>
        </is>
      </c>
    </row>
    <row r="59">
      <c r="A59" t="inlineStr">
        <is>
          <t>Y2 levered free cash flow (before repaying debt)</t>
        </is>
      </c>
      <c r="B59" t="inlineStr">
        <is>
          <t>fcf_2</t>
        </is>
      </c>
      <c r="C59" s="4">
        <f>$C$58+$C$34-$C$36-$C$37</f>
        <v/>
      </c>
      <c r="D59" s="4" t="n">
        <v>32.25</v>
      </c>
      <c r="E59" t="inlineStr">
        <is>
          <t>cash_flow.levered_fcf.1</t>
        </is>
      </c>
      <c r="F59" t="inlineStr">
        <is>
          <t>money, to 0.01</t>
        </is>
      </c>
    </row>
    <row r="60">
      <c r="A60" t="inlineStr">
        <is>
          <t>Y2 mandatory repayment</t>
        </is>
      </c>
      <c r="B60" t="inlineStr">
        <is>
          <t>mand_2</t>
        </is>
      </c>
      <c r="C60" s="4">
        <f>MIN(0,$C$53)</f>
        <v/>
      </c>
      <c r="D60" s="4" t="n">
        <v>0</v>
      </c>
      <c r="E60" t="inlineStr">
        <is>
          <t>debt_schedule.total_mandatory_repayment.1</t>
        </is>
      </c>
      <c r="F60" t="inlineStr">
        <is>
          <t>money, to 0.01</t>
        </is>
      </c>
    </row>
    <row r="61">
      <c r="A61" t="inlineStr">
        <is>
          <t>Y2 cash sweep = cash left after the mandatory repayment</t>
        </is>
      </c>
      <c r="B61" t="inlineStr">
        <is>
          <t>sweep_2</t>
        </is>
      </c>
      <c r="C61" s="4">
        <f>MIN(MAX($C$59-$C$60,0),$C$53-$C$60)</f>
        <v/>
      </c>
      <c r="D61" s="4" t="n">
        <v>32.25</v>
      </c>
      <c r="E61" t="inlineStr">
        <is>
          <t>debt_schedule.total_cash_sweep.1</t>
        </is>
      </c>
      <c r="F61" t="inlineStr">
        <is>
          <t>money, to 0.01</t>
        </is>
      </c>
    </row>
    <row r="62">
      <c r="A62" t="inlineStr">
        <is>
          <t>Y2 Term loan closing balance</t>
        </is>
      </c>
      <c r="B62" t="inlineStr">
        <is>
          <t>bal_2</t>
        </is>
      </c>
      <c r="C62" s="4">
        <f>$C$53-$C$60-$C$61</f>
        <v/>
      </c>
      <c r="D62" s="4" t="n">
        <v>337.75</v>
      </c>
      <c r="E62" t="inlineStr">
        <is>
          <t>tranches.Term loan.1.ending_balance</t>
        </is>
      </c>
      <c r="F62" t="inlineStr">
        <is>
          <t>money, to 0.01</t>
        </is>
      </c>
    </row>
    <row r="63">
      <c r="A63" t="inlineStr">
        <is>
          <t>Y3 Term loan opening balance</t>
        </is>
      </c>
      <c r="B63" t="inlineStr">
        <is>
          <t>opening_3</t>
        </is>
      </c>
      <c r="C63" s="4">
        <f>$C$62</f>
        <v/>
      </c>
      <c r="D63" s="4" t="n">
        <v>337.75</v>
      </c>
      <c r="E63" t="inlineStr">
        <is>
          <t>tranches.Term loan.2.beginning_balance</t>
        </is>
      </c>
      <c r="F63" t="inlineStr">
        <is>
          <t>money, to 0.01</t>
        </is>
      </c>
    </row>
    <row r="64">
      <c r="A64" t="inlineStr">
        <is>
          <t>Y3 interest expense</t>
        </is>
      </c>
      <c r="B64" t="inlineStr">
        <is>
          <t>int_3</t>
        </is>
      </c>
      <c r="C64" s="4">
        <f>$C$62*$C$17</f>
        <v/>
      </c>
      <c r="D64" s="4" t="n">
        <v>33.775</v>
      </c>
      <c r="E64" t="inlineStr">
        <is>
          <t>operating_model.interest_expense.2</t>
        </is>
      </c>
      <c r="F64" t="inlineStr">
        <is>
          <t>money, to 0.01</t>
        </is>
      </c>
    </row>
    <row r="65">
      <c r="A65" t="inlineStr">
        <is>
          <t>Y3 profit before tax = EBIT - interest + interest income</t>
        </is>
      </c>
      <c r="B65" t="inlineStr">
        <is>
          <t>ebt_3</t>
        </is>
      </c>
      <c r="C65" s="4">
        <f>$C$39-$C$64+0</f>
        <v/>
      </c>
      <c r="D65" s="4" t="n">
        <v>46.225</v>
      </c>
      <c r="E65" t="inlineStr">
        <is>
          <t>operating_model.ebt.2</t>
        </is>
      </c>
      <c r="F65" t="inlineStr">
        <is>
          <t>money, to 0.01</t>
        </is>
      </c>
    </row>
    <row r="66">
      <c r="A66" t="inlineStr">
        <is>
          <t>Y3 tax</t>
        </is>
      </c>
      <c r="B66" t="inlineStr">
        <is>
          <t>tax_3</t>
        </is>
      </c>
      <c r="C66" s="4">
        <f>MAX($C$65,0)*$C$13</f>
        <v/>
      </c>
      <c r="D66" s="4" t="n">
        <v>11.55625</v>
      </c>
      <c r="E66" t="inlineStr">
        <is>
          <t>operating_model.taxes.2</t>
        </is>
      </c>
      <c r="F66" t="inlineStr">
        <is>
          <t>money, to 0.01</t>
        </is>
      </c>
    </row>
    <row r="67">
      <c r="A67" t="inlineStr">
        <is>
          <t>Y3 net income</t>
        </is>
      </c>
      <c r="B67" t="inlineStr">
        <is>
          <t>ni_3</t>
        </is>
      </c>
      <c r="C67" s="4">
        <f>$C$65-$C$66</f>
        <v/>
      </c>
      <c r="D67" s="4" t="n">
        <v>34.66875</v>
      </c>
      <c r="E67" t="inlineStr">
        <is>
          <t>operating_model.net_income.2</t>
        </is>
      </c>
      <c r="F67" t="inlineStr">
        <is>
          <t>money, to 0.01</t>
        </is>
      </c>
    </row>
    <row r="68">
      <c r="A68" t="inlineStr">
        <is>
          <t>Y3 levered free cash flow (before repaying debt)</t>
        </is>
      </c>
      <c r="B68" t="inlineStr">
        <is>
          <t>fcf_3</t>
        </is>
      </c>
      <c r="C68" s="4">
        <f>$C$67+$C$40-$C$42-$C$43</f>
        <v/>
      </c>
      <c r="D68" s="4" t="n">
        <v>34.66875</v>
      </c>
      <c r="E68" t="inlineStr">
        <is>
          <t>cash_flow.levered_fcf.2</t>
        </is>
      </c>
      <c r="F68" t="inlineStr">
        <is>
          <t>money, to 0.01</t>
        </is>
      </c>
    </row>
    <row r="69">
      <c r="A69" t="inlineStr">
        <is>
          <t>Y3 mandatory repayment</t>
        </is>
      </c>
      <c r="B69" t="inlineStr">
        <is>
          <t>mand_3</t>
        </is>
      </c>
      <c r="C69" s="4">
        <f>MIN(0,$C$62)</f>
        <v/>
      </c>
      <c r="D69" s="4" t="n">
        <v>0</v>
      </c>
      <c r="E69" t="inlineStr">
        <is>
          <t>debt_schedule.total_mandatory_repayment.2</t>
        </is>
      </c>
      <c r="F69" t="inlineStr">
        <is>
          <t>money, to 0.01</t>
        </is>
      </c>
    </row>
    <row r="70">
      <c r="A70" t="inlineStr">
        <is>
          <t>Y3 cash sweep = cash left after the mandatory repayment</t>
        </is>
      </c>
      <c r="B70" t="inlineStr">
        <is>
          <t>sweep_3</t>
        </is>
      </c>
      <c r="C70" s="4">
        <f>MIN(MAX($C$68-$C$69,0),$C$62-$C$69)</f>
        <v/>
      </c>
      <c r="D70" s="4" t="n">
        <v>34.66875</v>
      </c>
      <c r="E70" t="inlineStr">
        <is>
          <t>debt_schedule.total_cash_sweep.2</t>
        </is>
      </c>
      <c r="F70" t="inlineStr">
        <is>
          <t>money, to 0.01</t>
        </is>
      </c>
    </row>
    <row r="71">
      <c r="A71" t="inlineStr">
        <is>
          <t>Y3 Term loan closing balance</t>
        </is>
      </c>
      <c r="B71" t="inlineStr">
        <is>
          <t>bal_3</t>
        </is>
      </c>
      <c r="C71" s="4">
        <f>$C$62-$C$69-$C$70</f>
        <v/>
      </c>
      <c r="D71" s="4" t="n">
        <v>303.08125</v>
      </c>
      <c r="E71" t="inlineStr">
        <is>
          <t>tranches.Term loan.2.ending_balance</t>
        </is>
      </c>
      <c r="F71" t="inlineStr">
        <is>
          <t>money, to 0.01</t>
        </is>
      </c>
    </row>
    <row r="72">
      <c r="A72" t="inlineStr">
        <is>
          <t>Net debt at exit (debt - cash + lease liability)</t>
        </is>
      </c>
      <c r="B72" t="inlineStr">
        <is>
          <t>net_debt_exit</t>
        </is>
      </c>
      <c r="C72" s="4">
        <f>$C$71</f>
        <v/>
      </c>
      <c r="D72" s="4" t="n">
        <v>303.08125</v>
      </c>
      <c r="E72" t="inlineStr">
        <is>
          <t>returns.net_debt_at_exit</t>
        </is>
      </c>
      <c r="F72" t="inlineStr">
        <is>
          <t>money, to 0.01</t>
        </is>
      </c>
    </row>
    <row r="73">
      <c r="A73" t="inlineStr">
        <is>
          <t>Exit EV = (final-year EBITDA + lease add-back) x exit multiple</t>
        </is>
      </c>
      <c r="B73" t="inlineStr">
        <is>
          <t>exit_ev</t>
        </is>
      </c>
      <c r="C73" s="4">
        <f>($C$41+0)*$C$15</f>
        <v/>
      </c>
      <c r="D73" s="4" t="n">
        <v>800</v>
      </c>
      <c r="E73" t="inlineStr">
        <is>
          <t>returns.exit_ev</t>
        </is>
      </c>
      <c r="F73" t="inlineStr">
        <is>
          <t>money, to 0.01</t>
        </is>
      </c>
    </row>
    <row r="74">
      <c r="A74" t="inlineStr">
        <is>
          <t>Exit equity = exit EV - net debt</t>
        </is>
      </c>
      <c r="B74" t="inlineStr">
        <is>
          <t>exit_equity</t>
        </is>
      </c>
      <c r="C74" s="4">
        <f>$C$73-$C$72</f>
        <v/>
      </c>
      <c r="D74" s="4" t="n">
        <v>496.91875</v>
      </c>
      <c r="E74" t="inlineStr">
        <is>
          <t>returns.net_exit_equity</t>
        </is>
      </c>
      <c r="F74" t="inlineStr">
        <is>
          <t>money, to 0.01</t>
        </is>
      </c>
    </row>
    <row r="75">
      <c r="A75" t="inlineStr">
        <is>
          <t>MOIC = exit equity / entry equity</t>
        </is>
      </c>
      <c r="B75" t="inlineStr">
        <is>
          <t>moic</t>
        </is>
      </c>
      <c r="C75" s="5">
        <f>$C$74/$C$24</f>
        <v/>
      </c>
      <c r="D75" s="5" t="n">
        <v>1.242296875</v>
      </c>
      <c r="E75" t="inlineStr">
        <is>
          <t>returns.moic</t>
        </is>
      </c>
      <c r="F75" t="inlineStr">
        <is>
          <t>multiple, to 0.01</t>
        </is>
      </c>
    </row>
    <row r="76">
      <c r="A76" t="inlineStr">
        <is>
          <t>IRR = MOIC ^ (1 / years) - 1</t>
        </is>
      </c>
      <c r="B76" t="inlineStr">
        <is>
          <t>irr</t>
        </is>
      </c>
      <c r="C76" s="6">
        <f>$C$75^(1/$C$16)-1</f>
        <v/>
      </c>
      <c r="D76" s="6" t="n">
        <v>0.07499999999999996</v>
      </c>
      <c r="E76" t="inlineStr">
        <is>
          <t>returns.irr</t>
        </is>
      </c>
      <c r="F76" t="inlineStr">
        <is>
          <t>per cent, to 0.01</t>
        </is>
      </c>
    </row>
    <row r="78">
      <c r="A78" s="3" t="inlineStr">
        <is>
          <t>Headline answers, typed by hand</t>
        </is>
      </c>
    </row>
    <row r="79">
      <c r="A79" t="inlineStr">
        <is>
          <t>Sponsor equity = EV + costs + minimum cash - debt - lease liability</t>
        </is>
      </c>
      <c r="B79" t="inlineStr">
        <is>
          <t>equity</t>
        </is>
      </c>
      <c r="D79" s="4" t="n">
        <v>400</v>
      </c>
    </row>
    <row r="80">
      <c r="A80" t="inlineStr">
        <is>
          <t>Exit equity = exit EV - net debt</t>
        </is>
      </c>
      <c r="B80" t="inlineStr">
        <is>
          <t>exit_equity</t>
        </is>
      </c>
      <c r="D80" s="4" t="n">
        <v>496.91875</v>
      </c>
    </row>
  </sheetData>
  <mergeCells count="1">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4. Amortising term loan, no sweep</t>
        </is>
      </c>
    </row>
    <row r="2">
      <c r="A2" t="inlineStr">
        <is>
          <t>Covers: single tranche, zero growth</t>
        </is>
      </c>
    </row>
    <row r="3" ht="90" customHeight="1">
      <c r="A3" s="2" t="inlineStr">
        <is>
          <t>400 at 10% repaying 5% of the original principal (20) a year, not swept. Interest 40, 38, 36 on the opening balances; net income 30, 31.5, 33; cash after repayments 10, 21.5, 34.5. Net debt at exit 340 - 34.5 = 305.5.</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amort</t>
        </is>
      </c>
      <c r="B18" t="inlineStr">
        <is>
          <t>amort</t>
        </is>
      </c>
      <c r="C18" t="n">
        <v>0.05</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400</f>
        <v/>
      </c>
      <c r="D23" s="4" t="n">
        <v>400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$C$22+$C$24+0-$C$23-0</f>
        <v/>
      </c>
      <c r="D25" s="4" t="n">
        <v>400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Term loan at close</t>
        </is>
      </c>
      <c r="B45" t="inlineStr">
        <is>
          <t>bal_0</t>
        </is>
      </c>
      <c r="C45" s="4">
        <f>$C$23</f>
        <v/>
      </c>
      <c r="D45" s="4" t="n">
        <v>400</v>
      </c>
    </row>
    <row r="46">
      <c r="A46" t="inlineStr">
        <is>
          <t>Y1 interest expense</t>
        </is>
      </c>
      <c r="B46" t="inlineStr">
        <is>
          <t>int_1</t>
        </is>
      </c>
      <c r="C46" s="4">
        <f>$C$45*$C$17</f>
        <v/>
      </c>
      <c r="D46" s="4" t="n">
        <v>40</v>
      </c>
      <c r="E46" t="inlineStr">
        <is>
          <t>operating_model.interest_expense.0</t>
        </is>
      </c>
      <c r="F46" t="inlineStr">
        <is>
          <t>money, to 0.01</t>
        </is>
      </c>
    </row>
    <row r="47">
      <c r="A47" t="inlineStr">
        <is>
          <t>Y1 profit before tax = EBIT - interest + interest income</t>
        </is>
      </c>
      <c r="B47" t="inlineStr">
        <is>
          <t>ebt_1</t>
        </is>
      </c>
      <c r="C47" s="4">
        <f>$C$28-$C$46+0</f>
        <v/>
      </c>
      <c r="D47" s="4" t="n">
        <v>40</v>
      </c>
      <c r="E47" t="inlineStr">
        <is>
          <t>operating_model.ebt.0</t>
        </is>
      </c>
      <c r="F47" t="inlineStr">
        <is>
          <t>money, to 0.01</t>
        </is>
      </c>
    </row>
    <row r="48">
      <c r="A48" t="inlineStr">
        <is>
          <t>Y1 tax</t>
        </is>
      </c>
      <c r="B48" t="inlineStr">
        <is>
          <t>tax_1</t>
        </is>
      </c>
      <c r="C48" s="4">
        <f>MAX($C$47,0)*$C$13</f>
        <v/>
      </c>
      <c r="D48" s="4" t="n">
        <v>10</v>
      </c>
      <c r="E48" t="inlineStr">
        <is>
          <t>operating_model.taxes.0</t>
        </is>
      </c>
      <c r="F48" t="inlineStr">
        <is>
          <t>money, to 0.01</t>
        </is>
      </c>
    </row>
    <row r="49">
      <c r="A49" t="inlineStr">
        <is>
          <t>Y1 net income</t>
        </is>
      </c>
      <c r="B49" t="inlineStr">
        <is>
          <t>ni_1</t>
        </is>
      </c>
      <c r="C49" s="4">
        <f>$C$47-$C$48</f>
        <v/>
      </c>
      <c r="D49" s="4" t="n">
        <v>30</v>
      </c>
      <c r="E49" t="inlineStr">
        <is>
          <t>operating_model.net_income.0</t>
        </is>
      </c>
      <c r="F49" t="inlineStr">
        <is>
          <t>money, to 0.01</t>
        </is>
      </c>
    </row>
    <row r="50">
      <c r="A50" t="inlineStr">
        <is>
          <t>Y1 levered free cash flow (before repaying debt)</t>
        </is>
      </c>
      <c r="B50" t="inlineStr">
        <is>
          <t>fcf_1</t>
        </is>
      </c>
      <c r="C50" s="4">
        <f>$C$49+$C$29-$C$31-$C$32</f>
        <v/>
      </c>
      <c r="D50" s="4" t="n">
        <v>30</v>
      </c>
      <c r="E50" t="inlineStr">
        <is>
          <t>cash_flow.levered_fcf.0</t>
        </is>
      </c>
      <c r="F50" t="inlineStr">
        <is>
          <t>money, to 0.01</t>
        </is>
      </c>
    </row>
    <row r="51">
      <c r="A51" t="inlineStr">
        <is>
          <t>Y1 scheduled repayment = 5% of the original 400</t>
        </is>
      </c>
      <c r="B51" t="inlineStr">
        <is>
          <t>mand_1</t>
        </is>
      </c>
      <c r="C51" s="4">
        <f>$C$23*$C$18</f>
        <v/>
      </c>
      <c r="D51" s="4" t="n">
        <v>20</v>
      </c>
      <c r="E51" t="inlineStr">
        <is>
          <t>tranches.Term loan.0.mandatory_repayment</t>
        </is>
      </c>
      <c r="F51" t="inlineStr">
        <is>
          <t>money, to 0.01</t>
        </is>
      </c>
    </row>
    <row r="52">
      <c r="A52" t="inlineStr">
        <is>
          <t>Y1 closing balance</t>
        </is>
      </c>
      <c r="B52" t="inlineStr">
        <is>
          <t>bal_1</t>
        </is>
      </c>
      <c r="C52" s="4">
        <f>$C$45-$C$51</f>
        <v/>
      </c>
      <c r="D52" s="4" t="n">
        <v>380</v>
      </c>
      <c r="E52" t="inlineStr">
        <is>
          <t>tranches.Term loan.0.ending_balance</t>
        </is>
      </c>
      <c r="F52" t="inlineStr">
        <is>
          <t>money, to 0.01</t>
        </is>
      </c>
    </row>
    <row r="53">
      <c r="A53" t="inlineStr">
        <is>
          <t>Y1 closing cash</t>
        </is>
      </c>
      <c r="B53" t="inlineStr">
        <is>
          <t>cash_1</t>
        </is>
      </c>
      <c r="C53" s="4">
        <f>0+$C$50-$C$51</f>
        <v/>
      </c>
      <c r="D53" s="4" t="n">
        <v>10</v>
      </c>
      <c r="E53" t="inlineStr">
        <is>
          <t>debt_schedule.cash_balance.0</t>
        </is>
      </c>
      <c r="F53" t="inlineStr">
        <is>
          <t>money, to 0.01</t>
        </is>
      </c>
    </row>
    <row r="54">
      <c r="A54" t="inlineStr">
        <is>
          <t>Y2 interest expense</t>
        </is>
      </c>
      <c r="B54" t="inlineStr">
        <is>
          <t>int_2</t>
        </is>
      </c>
      <c r="C54" s="4">
        <f>$C$52*$C$17</f>
        <v/>
      </c>
      <c r="D54" s="4" t="n">
        <v>38</v>
      </c>
      <c r="E54" t="inlineStr">
        <is>
          <t>operating_model.interest_expense.1</t>
        </is>
      </c>
      <c r="F54" t="inlineStr">
        <is>
          <t>money, to 0.01</t>
        </is>
      </c>
    </row>
    <row r="55">
      <c r="A55" t="inlineStr">
        <is>
          <t>Y2 profit before tax = EBIT - interest + interest income</t>
        </is>
      </c>
      <c r="B55" t="inlineStr">
        <is>
          <t>ebt_2</t>
        </is>
      </c>
      <c r="C55" s="4">
        <f>$C$34-$C$54+0</f>
        <v/>
      </c>
      <c r="D55" s="4" t="n">
        <v>42</v>
      </c>
      <c r="E55" t="inlineStr">
        <is>
          <t>operating_model.ebt.1</t>
        </is>
      </c>
      <c r="F55" t="inlineStr">
        <is>
          <t>money, to 0.01</t>
        </is>
      </c>
    </row>
    <row r="56">
      <c r="A56" t="inlineStr">
        <is>
          <t>Y2 tax</t>
        </is>
      </c>
      <c r="B56" t="inlineStr">
        <is>
          <t>tax_2</t>
        </is>
      </c>
      <c r="C56" s="4">
        <f>MAX($C$55,0)*$C$13</f>
        <v/>
      </c>
      <c r="D56" s="4" t="n">
        <v>10.5</v>
      </c>
      <c r="E56" t="inlineStr">
        <is>
          <t>operating_model.taxes.1</t>
        </is>
      </c>
      <c r="F56" t="inlineStr">
        <is>
          <t>money, to 0.01</t>
        </is>
      </c>
    </row>
    <row r="57">
      <c r="A57" t="inlineStr">
        <is>
          <t>Y2 net income</t>
        </is>
      </c>
      <c r="B57" t="inlineStr">
        <is>
          <t>ni_2</t>
        </is>
      </c>
      <c r="C57" s="4">
        <f>$C$55-$C$56</f>
        <v/>
      </c>
      <c r="D57" s="4" t="n">
        <v>31.5</v>
      </c>
      <c r="E57" t="inlineStr">
        <is>
          <t>operating_model.net_income.1</t>
        </is>
      </c>
      <c r="F57" t="inlineStr">
        <is>
          <t>money, to 0.01</t>
        </is>
      </c>
    </row>
    <row r="58">
      <c r="A58" t="inlineStr">
        <is>
          <t>Y2 levered free cash flow (before repaying debt)</t>
        </is>
      </c>
      <c r="B58" t="inlineStr">
        <is>
          <t>fcf_2</t>
        </is>
      </c>
      <c r="C58" s="4">
        <f>$C$57+$C$35-$C$37-$C$38</f>
        <v/>
      </c>
      <c r="D58" s="4" t="n">
        <v>31.5</v>
      </c>
      <c r="E58" t="inlineStr">
        <is>
          <t>cash_flow.levered_fcf.1</t>
        </is>
      </c>
      <c r="F58" t="inlineStr">
        <is>
          <t>money, to 0.01</t>
        </is>
      </c>
    </row>
    <row r="59">
      <c r="A59" t="inlineStr">
        <is>
          <t>Y2 scheduled repayment = 5% of the original 400</t>
        </is>
      </c>
      <c r="B59" t="inlineStr">
        <is>
          <t>mand_2</t>
        </is>
      </c>
      <c r="C59" s="4">
        <f>$C$23*$C$18</f>
        <v/>
      </c>
      <c r="D59" s="4" t="n">
        <v>20</v>
      </c>
      <c r="E59" t="inlineStr">
        <is>
          <t>tranches.Term loan.1.mandatory_repayment</t>
        </is>
      </c>
      <c r="F59" t="inlineStr">
        <is>
          <t>money, to 0.01</t>
        </is>
      </c>
    </row>
    <row r="60">
      <c r="A60" t="inlineStr">
        <is>
          <t>Y2 closing balance</t>
        </is>
      </c>
      <c r="B60" t="inlineStr">
        <is>
          <t>bal_2</t>
        </is>
      </c>
      <c r="C60" s="4">
        <f>$C$52-$C$59</f>
        <v/>
      </c>
      <c r="D60" s="4" t="n">
        <v>360</v>
      </c>
      <c r="E60" t="inlineStr">
        <is>
          <t>tranches.Term loan.1.ending_balance</t>
        </is>
      </c>
      <c r="F60" t="inlineStr">
        <is>
          <t>money, to 0.01</t>
        </is>
      </c>
    </row>
    <row r="61">
      <c r="A61" t="inlineStr">
        <is>
          <t>Y2 closing cash</t>
        </is>
      </c>
      <c r="B61" t="inlineStr">
        <is>
          <t>cash_2</t>
        </is>
      </c>
      <c r="C61" s="4">
        <f>$C$53+$C$58-$C$59</f>
        <v/>
      </c>
      <c r="D61" s="4" t="n">
        <v>21.5</v>
      </c>
      <c r="E61" t="inlineStr">
        <is>
          <t>debt_schedule.cash_balance.1</t>
        </is>
      </c>
      <c r="F61" t="inlineStr">
        <is>
          <t>money, to 0.01</t>
        </is>
      </c>
    </row>
    <row r="62">
      <c r="A62" t="inlineStr">
        <is>
          <t>Y3 interest expense</t>
        </is>
      </c>
      <c r="B62" t="inlineStr">
        <is>
          <t>int_3</t>
        </is>
      </c>
      <c r="C62" s="4">
        <f>$C$60*$C$17</f>
        <v/>
      </c>
      <c r="D62" s="4" t="n">
        <v>36</v>
      </c>
      <c r="E62" t="inlineStr">
        <is>
          <t>operating_model.interest_expense.2</t>
        </is>
      </c>
      <c r="F62" t="inlineStr">
        <is>
          <t>money, to 0.01</t>
        </is>
      </c>
    </row>
    <row r="63">
      <c r="A63" t="inlineStr">
        <is>
          <t>Y3 profit before tax = EBIT - interest + interest income</t>
        </is>
      </c>
      <c r="B63" t="inlineStr">
        <is>
          <t>ebt_3</t>
        </is>
      </c>
      <c r="C63" s="4">
        <f>$C$40-$C$62+0</f>
        <v/>
      </c>
      <c r="D63" s="4" t="n">
        <v>44</v>
      </c>
      <c r="E63" t="inlineStr">
        <is>
          <t>operating_model.ebt.2</t>
        </is>
      </c>
      <c r="F63" t="inlineStr">
        <is>
          <t>money, to 0.01</t>
        </is>
      </c>
    </row>
    <row r="64">
      <c r="A64" t="inlineStr">
        <is>
          <t>Y3 tax</t>
        </is>
      </c>
      <c r="B64" t="inlineStr">
        <is>
          <t>tax_3</t>
        </is>
      </c>
      <c r="C64" s="4">
        <f>MAX($C$63,0)*$C$13</f>
        <v/>
      </c>
      <c r="D64" s="4" t="n">
        <v>11</v>
      </c>
      <c r="E64" t="inlineStr">
        <is>
          <t>operating_model.taxes.2</t>
        </is>
      </c>
      <c r="F64" t="inlineStr">
        <is>
          <t>money, to 0.01</t>
        </is>
      </c>
    </row>
    <row r="65">
      <c r="A65" t="inlineStr">
        <is>
          <t>Y3 net income</t>
        </is>
      </c>
      <c r="B65" t="inlineStr">
        <is>
          <t>ni_3</t>
        </is>
      </c>
      <c r="C65" s="4">
        <f>$C$63-$C$64</f>
        <v/>
      </c>
      <c r="D65" s="4" t="n">
        <v>33</v>
      </c>
      <c r="E65" t="inlineStr">
        <is>
          <t>operating_model.net_income.2</t>
        </is>
      </c>
      <c r="F65" t="inlineStr">
        <is>
          <t>money, to 0.01</t>
        </is>
      </c>
    </row>
    <row r="66">
      <c r="A66" t="inlineStr">
        <is>
          <t>Y3 levered free cash flow (before repaying debt)</t>
        </is>
      </c>
      <c r="B66" t="inlineStr">
        <is>
          <t>fcf_3</t>
        </is>
      </c>
      <c r="C66" s="4">
        <f>$C$65+$C$41-$C$43-$C$44</f>
        <v/>
      </c>
      <c r="D66" s="4" t="n">
        <v>33</v>
      </c>
      <c r="E66" t="inlineStr">
        <is>
          <t>cash_flow.levered_fcf.2</t>
        </is>
      </c>
      <c r="F66" t="inlineStr">
        <is>
          <t>money, to 0.01</t>
        </is>
      </c>
    </row>
    <row r="67">
      <c r="A67" t="inlineStr">
        <is>
          <t>Y3 scheduled repayment = 5% of the original 400</t>
        </is>
      </c>
      <c r="B67" t="inlineStr">
        <is>
          <t>mand_3</t>
        </is>
      </c>
      <c r="C67" s="4">
        <f>$C$23*$C$18</f>
        <v/>
      </c>
      <c r="D67" s="4" t="n">
        <v>20</v>
      </c>
      <c r="E67" t="inlineStr">
        <is>
          <t>tranches.Term loan.2.mandatory_repayment</t>
        </is>
      </c>
      <c r="F67" t="inlineStr">
        <is>
          <t>money, to 0.01</t>
        </is>
      </c>
    </row>
    <row r="68">
      <c r="A68" t="inlineStr">
        <is>
          <t>Y3 closing balance</t>
        </is>
      </c>
      <c r="B68" t="inlineStr">
        <is>
          <t>bal_3</t>
        </is>
      </c>
      <c r="C68" s="4">
        <f>$C$60-$C$67</f>
        <v/>
      </c>
      <c r="D68" s="4" t="n">
        <v>340</v>
      </c>
      <c r="E68" t="inlineStr">
        <is>
          <t>tranches.Term loan.2.ending_balance</t>
        </is>
      </c>
      <c r="F68" t="inlineStr">
        <is>
          <t>money, to 0.01</t>
        </is>
      </c>
    </row>
    <row r="69">
      <c r="A69" t="inlineStr">
        <is>
          <t>Y3 closing cash</t>
        </is>
      </c>
      <c r="B69" t="inlineStr">
        <is>
          <t>cash_3</t>
        </is>
      </c>
      <c r="C69" s="4">
        <f>$C$61+$C$66-$C$67</f>
        <v/>
      </c>
      <c r="D69" s="4" t="n">
        <v>34.5</v>
      </c>
      <c r="E69" t="inlineStr">
        <is>
          <t>debt_schedule.cash_balance.2</t>
        </is>
      </c>
      <c r="F69" t="inlineStr">
        <is>
          <t>money, to 0.01</t>
        </is>
      </c>
    </row>
    <row r="70">
      <c r="A70" t="inlineStr">
        <is>
          <t>Net debt at exit (debt - cash + lease liability)</t>
        </is>
      </c>
      <c r="B70" t="inlineStr">
        <is>
          <t>net_debt_exit</t>
        </is>
      </c>
      <c r="C70" s="4">
        <f>$C$68-$C$69</f>
        <v/>
      </c>
      <c r="D70" s="4" t="n">
        <v>305.5</v>
      </c>
      <c r="E70" t="inlineStr">
        <is>
          <t>returns.net_debt_at_exit</t>
        </is>
      </c>
      <c r="F70" t="inlineStr">
        <is>
          <t>money, to 0.01</t>
        </is>
      </c>
    </row>
    <row r="71">
      <c r="A71" t="inlineStr">
        <is>
          <t>Exit EV = (final-year EBITDA + lease add-back) x exit multiple</t>
        </is>
      </c>
      <c r="B71" t="inlineStr">
        <is>
          <t>exit_ev</t>
        </is>
      </c>
      <c r="C71" s="4">
        <f>($C$42+0)*$C$15</f>
        <v/>
      </c>
      <c r="D71" s="4" t="n">
        <v>800</v>
      </c>
      <c r="E71" t="inlineStr">
        <is>
          <t>returns.exit_ev</t>
        </is>
      </c>
      <c r="F71" t="inlineStr">
        <is>
          <t>money, to 0.01</t>
        </is>
      </c>
    </row>
    <row r="72">
      <c r="A72" t="inlineStr">
        <is>
          <t>Exit equity = exit EV - net debt</t>
        </is>
      </c>
      <c r="B72" t="inlineStr">
        <is>
          <t>exit_equity</t>
        </is>
      </c>
      <c r="C72" s="4">
        <f>$C$71-$C$70</f>
        <v/>
      </c>
      <c r="D72" s="4" t="n">
        <v>494.5</v>
      </c>
      <c r="E72" t="inlineStr">
        <is>
          <t>returns.net_exit_equity</t>
        </is>
      </c>
      <c r="F72" t="inlineStr">
        <is>
          <t>money, to 0.01</t>
        </is>
      </c>
    </row>
    <row r="73">
      <c r="A73" t="inlineStr">
        <is>
          <t>MOIC = exit equity / entry equity</t>
        </is>
      </c>
      <c r="B73" t="inlineStr">
        <is>
          <t>moic</t>
        </is>
      </c>
      <c r="C73" s="5">
        <f>$C$72/$C$25</f>
        <v/>
      </c>
      <c r="D73" s="5" t="n">
        <v>1.23625</v>
      </c>
      <c r="E73" t="inlineStr">
        <is>
          <t>returns.moic</t>
        </is>
      </c>
      <c r="F73" t="inlineStr">
        <is>
          <t>multiple, to 0.01</t>
        </is>
      </c>
    </row>
    <row r="74">
      <c r="A74" t="inlineStr">
        <is>
          <t>IRR = MOIC ^ (1 / years) - 1</t>
        </is>
      </c>
      <c r="B74" t="inlineStr">
        <is>
          <t>irr</t>
        </is>
      </c>
      <c r="C74" s="6">
        <f>$C$73^(1/$C$16)-1</f>
        <v/>
      </c>
      <c r="D74" s="6" t="n">
        <v>0.0732529763364429</v>
      </c>
      <c r="E74" t="inlineStr">
        <is>
          <t>returns.irr</t>
        </is>
      </c>
      <c r="F74" t="inlineStr">
        <is>
          <t>per cent, to 0.01</t>
        </is>
      </c>
    </row>
    <row r="76">
      <c r="A76" s="3" t="inlineStr">
        <is>
          <t>Headline answers, typed by hand</t>
        </is>
      </c>
    </row>
    <row r="77">
      <c r="A77" t="inlineStr">
        <is>
          <t>Sponsor equity = EV + costs + minimum cash - debt - lease liability</t>
        </is>
      </c>
      <c r="B77" t="inlineStr">
        <is>
          <t>equity</t>
        </is>
      </c>
      <c r="D77" s="4" t="n">
        <v>400</v>
      </c>
    </row>
    <row r="78">
      <c r="A78" t="inlineStr">
        <is>
          <t>Exit equity = exit EV - net debt</t>
        </is>
      </c>
      <c r="B78" t="inlineStr">
        <is>
          <t>exit_equity</t>
        </is>
      </c>
      <c r="D78" s="4" t="n">
        <v>494.5</v>
      </c>
    </row>
  </sheetData>
  <mergeCells count="1">
    <mergeCell ref="A3: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5. Fees only, no debt</t>
        </is>
      </c>
    </row>
    <row r="2">
      <c r="A2" t="inlineStr">
        <is>
          <t>Covers: fees only, no leverage</t>
        </is>
      </c>
    </row>
    <row r="3" ht="90" customHeight="1">
      <c r="A3" s="2" t="inlineStr">
        <is>
          <t>Case 01 with a 2.5% transaction fee (20 on an EV of 800) and 10 of other costs at close. The fees buy no value: the business, its cash and its exit are case 01's, so exit equity is still 980, but the cheque is 830. The equity bridge shows the 30 as its own step.</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tx_fee</t>
        </is>
      </c>
      <c r="B17" t="inlineStr">
        <is>
          <t>tx_fee</t>
        </is>
      </c>
      <c r="C17" t="n">
        <v>0.025</v>
      </c>
    </row>
    <row r="18">
      <c r="A18" t="inlineStr">
        <is>
          <t>other_uses</t>
        </is>
      </c>
      <c r="B18" t="inlineStr">
        <is>
          <t>other_uses</t>
        </is>
      </c>
      <c r="C18" t="n">
        <v>10</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0</f>
        <v/>
      </c>
      <c r="D23" s="4" t="n">
        <v>0</v>
      </c>
    </row>
    <row r="24">
      <c r="A24" t="inlineStr">
        <is>
          <t>Entry costs (fees and other uses)</t>
        </is>
      </c>
      <c r="B24" t="inlineStr">
        <is>
          <t>costs</t>
        </is>
      </c>
      <c r="C24" s="4">
        <f>$C$22*$C$17+$C$18</f>
        <v/>
      </c>
      <c r="D24" s="4" t="n">
        <v>30</v>
      </c>
    </row>
    <row r="25">
      <c r="A25" t="inlineStr">
        <is>
          <t>Sponsor equity = EV + costs + minimum cash - debt - lease liability</t>
        </is>
      </c>
      <c r="B25" t="inlineStr">
        <is>
          <t>equity</t>
        </is>
      </c>
      <c r="C25" s="4">
        <f>$C$22+$C$24+0-$C$23-0</f>
        <v/>
      </c>
      <c r="D25" s="4" t="n">
        <v>830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Y1 interest expense</t>
        </is>
      </c>
      <c r="B45" t="inlineStr">
        <is>
          <t>int_1</t>
        </is>
      </c>
      <c r="C45" s="4">
        <f>0</f>
        <v/>
      </c>
      <c r="D45" s="4" t="n">
        <v>0</v>
      </c>
      <c r="E45" t="inlineStr">
        <is>
          <t>operating_model.interest_expense.0</t>
        </is>
      </c>
      <c r="F45" t="inlineStr">
        <is>
          <t>money, to 0.01</t>
        </is>
      </c>
    </row>
    <row r="46">
      <c r="A46" t="inlineStr">
        <is>
          <t>Y1 profit before tax = EBIT - interest + interest income</t>
        </is>
      </c>
      <c r="B46" t="inlineStr">
        <is>
          <t>ebt_1</t>
        </is>
      </c>
      <c r="C46" s="4">
        <f>$C$28-$C$45+0</f>
        <v/>
      </c>
      <c r="D46" s="4" t="n">
        <v>80</v>
      </c>
      <c r="E46" t="inlineStr">
        <is>
          <t>operating_model.ebt.0</t>
        </is>
      </c>
      <c r="F46" t="inlineStr">
        <is>
          <t>money, to 0.01</t>
        </is>
      </c>
    </row>
    <row r="47">
      <c r="A47" t="inlineStr">
        <is>
          <t>Y1 tax</t>
        </is>
      </c>
      <c r="B47" t="inlineStr">
        <is>
          <t>tax_1</t>
        </is>
      </c>
      <c r="C47" s="4">
        <f>MAX($C$46,0)*$C$13</f>
        <v/>
      </c>
      <c r="D47" s="4" t="n">
        <v>20</v>
      </c>
      <c r="E47" t="inlineStr">
        <is>
          <t>operating_model.taxes.0</t>
        </is>
      </c>
      <c r="F47" t="inlineStr">
        <is>
          <t>money, to 0.01</t>
        </is>
      </c>
    </row>
    <row r="48">
      <c r="A48" t="inlineStr">
        <is>
          <t>Y1 net income</t>
        </is>
      </c>
      <c r="B48" t="inlineStr">
        <is>
          <t>ni_1</t>
        </is>
      </c>
      <c r="C48" s="4">
        <f>$C$46-$C$47</f>
        <v/>
      </c>
      <c r="D48" s="4" t="n">
        <v>60</v>
      </c>
      <c r="E48" t="inlineStr">
        <is>
          <t>operating_model.net_income.0</t>
        </is>
      </c>
      <c r="F48" t="inlineStr">
        <is>
          <t>money, to 0.01</t>
        </is>
      </c>
    </row>
    <row r="49">
      <c r="A49" t="inlineStr">
        <is>
          <t>Y1 levered free cash flow (before repaying debt)</t>
        </is>
      </c>
      <c r="B49" t="inlineStr">
        <is>
          <t>fcf_1</t>
        </is>
      </c>
      <c r="C49" s="4">
        <f>$C$48+$C$29-$C$31-$C$32</f>
        <v/>
      </c>
      <c r="D49" s="4" t="n">
        <v>60</v>
      </c>
      <c r="E49" t="inlineStr">
        <is>
          <t>cash_flow.levered_fcf.0</t>
        </is>
      </c>
      <c r="F49" t="inlineStr">
        <is>
          <t>money, to 0.01</t>
        </is>
      </c>
    </row>
    <row r="50">
      <c r="A50" t="inlineStr">
        <is>
          <t>Y1 closing cash</t>
        </is>
      </c>
      <c r="B50" t="inlineStr">
        <is>
          <t>cash_1</t>
        </is>
      </c>
      <c r="C50" s="4">
        <f>0+$C$49</f>
        <v/>
      </c>
      <c r="D50" s="4" t="n">
        <v>60</v>
      </c>
    </row>
    <row r="51">
      <c r="A51" t="inlineStr">
        <is>
          <t>Y2 interest expense</t>
        </is>
      </c>
      <c r="B51" t="inlineStr">
        <is>
          <t>int_2</t>
        </is>
      </c>
      <c r="C51" s="4">
        <f>0</f>
        <v/>
      </c>
      <c r="D51" s="4" t="n">
        <v>0</v>
      </c>
      <c r="E51" t="inlineStr">
        <is>
          <t>operating_model.interest_expense.1</t>
        </is>
      </c>
      <c r="F51" t="inlineStr">
        <is>
          <t>money, to 0.01</t>
        </is>
      </c>
    </row>
    <row r="52">
      <c r="A52" t="inlineStr">
        <is>
          <t>Y2 profit before tax = EBIT - interest + interest income</t>
        </is>
      </c>
      <c r="B52" t="inlineStr">
        <is>
          <t>ebt_2</t>
        </is>
      </c>
      <c r="C52" s="4">
        <f>$C$34-$C$51+0</f>
        <v/>
      </c>
      <c r="D52" s="4" t="n">
        <v>80</v>
      </c>
      <c r="E52" t="inlineStr">
        <is>
          <t>operating_model.ebt.1</t>
        </is>
      </c>
      <c r="F52" t="inlineStr">
        <is>
          <t>money, to 0.01</t>
        </is>
      </c>
    </row>
    <row r="53">
      <c r="A53" t="inlineStr">
        <is>
          <t>Y2 tax</t>
        </is>
      </c>
      <c r="B53" t="inlineStr">
        <is>
          <t>tax_2</t>
        </is>
      </c>
      <c r="C53" s="4">
        <f>MAX($C$52,0)*$C$13</f>
        <v/>
      </c>
      <c r="D53" s="4" t="n">
        <v>20</v>
      </c>
      <c r="E53" t="inlineStr">
        <is>
          <t>operating_model.taxes.1</t>
        </is>
      </c>
      <c r="F53" t="inlineStr">
        <is>
          <t>money, to 0.01</t>
        </is>
      </c>
    </row>
    <row r="54">
      <c r="A54" t="inlineStr">
        <is>
          <t>Y2 net income</t>
        </is>
      </c>
      <c r="B54" t="inlineStr">
        <is>
          <t>ni_2</t>
        </is>
      </c>
      <c r="C54" s="4">
        <f>$C$52-$C$53</f>
        <v/>
      </c>
      <c r="D54" s="4" t="n">
        <v>60</v>
      </c>
      <c r="E54" t="inlineStr">
        <is>
          <t>operating_model.net_income.1</t>
        </is>
      </c>
      <c r="F54" t="inlineStr">
        <is>
          <t>money, to 0.01</t>
        </is>
      </c>
    </row>
    <row r="55">
      <c r="A55" t="inlineStr">
        <is>
          <t>Y2 levered free cash flow (before repaying debt)</t>
        </is>
      </c>
      <c r="B55" t="inlineStr">
        <is>
          <t>fcf_2</t>
        </is>
      </c>
      <c r="C55" s="4">
        <f>$C$54+$C$35-$C$37-$C$38</f>
        <v/>
      </c>
      <c r="D55" s="4" t="n">
        <v>60</v>
      </c>
      <c r="E55" t="inlineStr">
        <is>
          <t>cash_flow.levered_fcf.1</t>
        </is>
      </c>
      <c r="F55" t="inlineStr">
        <is>
          <t>money, to 0.01</t>
        </is>
      </c>
    </row>
    <row r="56">
      <c r="A56" t="inlineStr">
        <is>
          <t>Y2 closing cash</t>
        </is>
      </c>
      <c r="B56" t="inlineStr">
        <is>
          <t>cash_2</t>
        </is>
      </c>
      <c r="C56" s="4">
        <f>$C$50+$C$55</f>
        <v/>
      </c>
      <c r="D56" s="4" t="n">
        <v>120</v>
      </c>
    </row>
    <row r="57">
      <c r="A57" t="inlineStr">
        <is>
          <t>Y3 interest expense</t>
        </is>
      </c>
      <c r="B57" t="inlineStr">
        <is>
          <t>int_3</t>
        </is>
      </c>
      <c r="C57" s="4">
        <f>0</f>
        <v/>
      </c>
      <c r="D57" s="4" t="n">
        <v>0</v>
      </c>
      <c r="E57" t="inlineStr">
        <is>
          <t>operating_model.interest_expense.2</t>
        </is>
      </c>
      <c r="F57" t="inlineStr">
        <is>
          <t>money, to 0.01</t>
        </is>
      </c>
    </row>
    <row r="58">
      <c r="A58" t="inlineStr">
        <is>
          <t>Y3 profit before tax = EBIT - interest + interest income</t>
        </is>
      </c>
      <c r="B58" t="inlineStr">
        <is>
          <t>ebt_3</t>
        </is>
      </c>
      <c r="C58" s="4">
        <f>$C$40-$C$57+0</f>
        <v/>
      </c>
      <c r="D58" s="4" t="n">
        <v>80</v>
      </c>
      <c r="E58" t="inlineStr">
        <is>
          <t>operating_model.ebt.2</t>
        </is>
      </c>
      <c r="F58" t="inlineStr">
        <is>
          <t>money, to 0.01</t>
        </is>
      </c>
    </row>
    <row r="59">
      <c r="A59" t="inlineStr">
        <is>
          <t>Y3 tax</t>
        </is>
      </c>
      <c r="B59" t="inlineStr">
        <is>
          <t>tax_3</t>
        </is>
      </c>
      <c r="C59" s="4">
        <f>MAX($C$58,0)*$C$13</f>
        <v/>
      </c>
      <c r="D59" s="4" t="n">
        <v>20</v>
      </c>
      <c r="E59" t="inlineStr">
        <is>
          <t>operating_model.taxes.2</t>
        </is>
      </c>
      <c r="F59" t="inlineStr">
        <is>
          <t>money, to 0.01</t>
        </is>
      </c>
    </row>
    <row r="60">
      <c r="A60" t="inlineStr">
        <is>
          <t>Y3 net income</t>
        </is>
      </c>
      <c r="B60" t="inlineStr">
        <is>
          <t>ni_3</t>
        </is>
      </c>
      <c r="C60" s="4">
        <f>$C$58-$C$59</f>
        <v/>
      </c>
      <c r="D60" s="4" t="n">
        <v>60</v>
      </c>
      <c r="E60" t="inlineStr">
        <is>
          <t>operating_model.net_income.2</t>
        </is>
      </c>
      <c r="F60" t="inlineStr">
        <is>
          <t>money, to 0.01</t>
        </is>
      </c>
    </row>
    <row r="61">
      <c r="A61" t="inlineStr">
        <is>
          <t>Y3 levered free cash flow (before repaying debt)</t>
        </is>
      </c>
      <c r="B61" t="inlineStr">
        <is>
          <t>fcf_3</t>
        </is>
      </c>
      <c r="C61" s="4">
        <f>$C$60+$C$41-$C$43-$C$44</f>
        <v/>
      </c>
      <c r="D61" s="4" t="n">
        <v>60</v>
      </c>
      <c r="E61" t="inlineStr">
        <is>
          <t>cash_flow.levered_fcf.2</t>
        </is>
      </c>
      <c r="F61" t="inlineStr">
        <is>
          <t>money, to 0.01</t>
        </is>
      </c>
    </row>
    <row r="62">
      <c r="A62" t="inlineStr">
        <is>
          <t>Y3 closing cash</t>
        </is>
      </c>
      <c r="B62" t="inlineStr">
        <is>
          <t>cash_3</t>
        </is>
      </c>
      <c r="C62" s="4">
        <f>$C$56+$C$61</f>
        <v/>
      </c>
      <c r="D62" s="4" t="n">
        <v>180</v>
      </c>
    </row>
    <row r="63">
      <c r="A63" t="inlineStr">
        <is>
          <t>Net debt at exit (debt - cash + lease liability)</t>
        </is>
      </c>
      <c r="B63" t="inlineStr">
        <is>
          <t>net_debt_exit</t>
        </is>
      </c>
      <c r="C63" s="4">
        <f>0-$C$62</f>
        <v/>
      </c>
      <c r="D63" s="4" t="n">
        <v>-180</v>
      </c>
      <c r="E63" t="inlineStr">
        <is>
          <t>returns.net_debt_at_exit</t>
        </is>
      </c>
      <c r="F63" t="inlineStr">
        <is>
          <t>money, to 0.01</t>
        </is>
      </c>
    </row>
    <row r="64">
      <c r="A64" t="inlineStr">
        <is>
          <t>Exit EV = (final-year EBITDA + lease add-back) x exit multiple</t>
        </is>
      </c>
      <c r="B64" t="inlineStr">
        <is>
          <t>exit_ev</t>
        </is>
      </c>
      <c r="C64" s="4">
        <f>($C$42+0)*$C$15</f>
        <v/>
      </c>
      <c r="D64" s="4" t="n">
        <v>800</v>
      </c>
      <c r="E64" t="inlineStr">
        <is>
          <t>returns.exit_ev</t>
        </is>
      </c>
      <c r="F64" t="inlineStr">
        <is>
          <t>money, to 0.01</t>
        </is>
      </c>
    </row>
    <row r="65">
      <c r="A65" t="inlineStr">
        <is>
          <t>Exit equity = exit EV - net debt</t>
        </is>
      </c>
      <c r="B65" t="inlineStr">
        <is>
          <t>exit_equity</t>
        </is>
      </c>
      <c r="C65" s="4">
        <f>$C$64-$C$63</f>
        <v/>
      </c>
      <c r="D65" s="4" t="n">
        <v>980</v>
      </c>
      <c r="E65" t="inlineStr">
        <is>
          <t>returns.net_exit_equity</t>
        </is>
      </c>
      <c r="F65" t="inlineStr">
        <is>
          <t>money, to 0.01</t>
        </is>
      </c>
    </row>
    <row r="66">
      <c r="A66" t="inlineStr">
        <is>
          <t>MOIC = exit equity / entry equity</t>
        </is>
      </c>
      <c r="B66" t="inlineStr">
        <is>
          <t>moic</t>
        </is>
      </c>
      <c r="C66" s="5">
        <f>$C$65/$C$25</f>
        <v/>
      </c>
      <c r="D66" s="5" t="n">
        <v>1.180722891566265</v>
      </c>
      <c r="E66" t="inlineStr">
        <is>
          <t>returns.moic</t>
        </is>
      </c>
      <c r="F66" t="inlineStr">
        <is>
          <t>multiple, to 0.01</t>
        </is>
      </c>
    </row>
    <row r="67">
      <c r="A67" t="inlineStr">
        <is>
          <t>IRR = MOIC ^ (1 / years) - 1</t>
        </is>
      </c>
      <c r="B67" t="inlineStr">
        <is>
          <t>irr</t>
        </is>
      </c>
      <c r="C67" s="6">
        <f>$C$66^(1/$C$16)-1</f>
        <v/>
      </c>
      <c r="D67" s="6" t="n">
        <v>0.05693755083540952</v>
      </c>
      <c r="E67" t="inlineStr">
        <is>
          <t>returns.irr</t>
        </is>
      </c>
      <c r="F67" t="inlineStr">
        <is>
          <t>per cent, to 0.01</t>
        </is>
      </c>
    </row>
    <row r="68">
      <c r="A68" t="inlineStr">
        <is>
          <t>Bridge: fees step = - entry costs</t>
        </is>
      </c>
      <c r="B68" t="inlineStr">
        <is>
          <t>bridge_fees</t>
        </is>
      </c>
      <c r="C68" s="4">
        <f>0-$C$24</f>
        <v/>
      </c>
      <c r="D68" s="4" t="n">
        <v>-30</v>
      </c>
      <c r="E68" t="inlineStr">
        <is>
          <t>equity_bridge.entry_costs</t>
        </is>
      </c>
      <c r="F68" t="inlineStr">
        <is>
          <t>money, to 0.01</t>
        </is>
      </c>
    </row>
    <row r="69">
      <c r="A69" t="inlineStr">
        <is>
          <t>Bridge: deleveraging = net debt at entry - net debt at exit</t>
        </is>
      </c>
      <c r="B69" t="inlineStr">
        <is>
          <t>bridge_delever</t>
        </is>
      </c>
      <c r="C69" s="4">
        <f>0-$C$63</f>
        <v/>
      </c>
      <c r="D69" s="4" t="n">
        <v>180</v>
      </c>
      <c r="E69" t="inlineStr">
        <is>
          <t>equity_bridge.deleveraging</t>
        </is>
      </c>
      <c r="F69" t="inlineStr">
        <is>
          <t>money, to 0.01</t>
        </is>
      </c>
    </row>
    <row r="70">
      <c r="A70" t="inlineStr">
        <is>
          <t>Bridge: total gain = exit equity - entry equity</t>
        </is>
      </c>
      <c r="B70" t="inlineStr">
        <is>
          <t>bridge_gain</t>
        </is>
      </c>
      <c r="C70" s="4">
        <f>$C$65-$C$25</f>
        <v/>
      </c>
      <c r="D70" s="4" t="n">
        <v>150</v>
      </c>
      <c r="E70" t="inlineStr">
        <is>
          <t>equity_bridge.total_gain</t>
        </is>
      </c>
      <c r="F70" t="inlineStr">
        <is>
          <t>money, to 0.01</t>
        </is>
      </c>
    </row>
    <row r="72">
      <c r="A72" s="3" t="inlineStr">
        <is>
          <t>Headline answers, typed by hand</t>
        </is>
      </c>
    </row>
    <row r="73">
      <c r="A73" t="inlineStr">
        <is>
          <t>Sponsor equity = EV + costs + minimum cash - debt - lease liability</t>
        </is>
      </c>
      <c r="B73" t="inlineStr">
        <is>
          <t>equity</t>
        </is>
      </c>
      <c r="D73" s="4" t="n">
        <v>830</v>
      </c>
    </row>
    <row r="74">
      <c r="A74" t="inlineStr">
        <is>
          <t>Exit equity = exit EV - net debt</t>
        </is>
      </c>
      <c r="B74" t="inlineStr">
        <is>
          <t>exit_equity</t>
        </is>
      </c>
      <c r="D74" s="4" t="n">
        <v>980</v>
      </c>
    </row>
  </sheetData>
  <mergeCells count="1">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6. Transaction, financing and arrangement fees</t>
        </is>
      </c>
    </row>
    <row r="2">
      <c r="A2" t="inlineStr">
        <is>
          <t>Covers: fees only</t>
        </is>
      </c>
    </row>
    <row r="3" ht="90" customHeight="1">
      <c r="A3" s="2" t="inlineStr">
        <is>
          <t>Case 02 with every fee on: 1% of EV (8), the deal's 2% financing fee on the 400 drawn (8) and the notes' own 1.5% arrangement fee (6), all paid by the sponsor at close. The cheque is 422; nothing after close changes, so exit equity is case 02's 490.</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tx_fee</t>
        </is>
      </c>
      <c r="B18" t="inlineStr">
        <is>
          <t>tx_fee</t>
        </is>
      </c>
      <c r="C18" t="n">
        <v>0.01</v>
      </c>
    </row>
    <row r="19">
      <c r="A19" t="inlineStr">
        <is>
          <t>fin_fee</t>
        </is>
      </c>
      <c r="B19" t="inlineStr">
        <is>
          <t>fin_fee</t>
        </is>
      </c>
      <c r="C19" t="n">
        <v>0.02</v>
      </c>
    </row>
    <row r="20">
      <c r="A20" t="inlineStr">
        <is>
          <t>upfront</t>
        </is>
      </c>
      <c r="B20" t="inlineStr">
        <is>
          <t>upfront</t>
        </is>
      </c>
      <c r="C20" t="n">
        <v>0.015</v>
      </c>
    </row>
    <row r="22">
      <c r="A22" s="3" t="inlineStr">
        <is>
          <t>Working</t>
        </is>
      </c>
      <c r="B22" s="3" t="inlineStr">
        <is>
          <t>Name</t>
        </is>
      </c>
      <c r="C22" s="3" t="inlineStr">
        <is>
          <t>Formula</t>
        </is>
      </c>
      <c r="D22" s="3" t="inlineStr">
        <is>
          <t>Comes to</t>
        </is>
      </c>
      <c r="E22" s="3" t="inlineStr">
        <is>
          <t>Engine figure it must match</t>
        </is>
      </c>
      <c r="F22" s="3" t="inlineStr">
        <is>
          <t>Compared as</t>
        </is>
      </c>
    </row>
    <row r="23">
      <c r="A23" t="inlineStr">
        <is>
          <t>Operating EBITDA (what the model grows)</t>
        </is>
      </c>
      <c r="B23" t="inlineStr">
        <is>
          <t>op_ebitda</t>
        </is>
      </c>
      <c r="C23" s="4">
        <f>$C$6</f>
        <v/>
      </c>
      <c r="D23" s="4" t="n">
        <v>100</v>
      </c>
    </row>
    <row r="24">
      <c r="A24" t="inlineStr">
        <is>
          <t>Entry EV = (EBITDA + lease add-back) x entry multiple</t>
        </is>
      </c>
      <c r="B24" t="inlineStr">
        <is>
          <t>ev</t>
        </is>
      </c>
      <c r="C24" s="4">
        <f>($C$23+0)*$C$14</f>
        <v/>
      </c>
      <c r="D24" s="4" t="n">
        <v>800</v>
      </c>
    </row>
    <row r="25">
      <c r="A25" t="inlineStr">
        <is>
          <t>Debt drawn at close</t>
        </is>
      </c>
      <c r="B25" t="inlineStr">
        <is>
          <t>debt</t>
        </is>
      </c>
      <c r="C25" s="4">
        <f>400</f>
        <v/>
      </c>
      <c r="D25" s="4" t="n">
        <v>400</v>
      </c>
    </row>
    <row r="26">
      <c r="A26" t="inlineStr">
        <is>
          <t>Entry costs (fees and other uses)</t>
        </is>
      </c>
      <c r="B26" t="inlineStr">
        <is>
          <t>costs</t>
        </is>
      </c>
      <c r="C26" s="4">
        <f>$C$24*$C$18+$C$25*$C$19+$C$25*$C$20</f>
        <v/>
      </c>
      <c r="D26" s="4" t="n">
        <v>22</v>
      </c>
    </row>
    <row r="27">
      <c r="A27" t="inlineStr">
        <is>
          <t>Sponsor equity = EV + costs + minimum cash - debt - lease liability</t>
        </is>
      </c>
      <c r="B27" t="inlineStr">
        <is>
          <t>equity</t>
        </is>
      </c>
      <c r="C27" s="4">
        <f>$C$24+$C$26+0-$C$25-0</f>
        <v/>
      </c>
      <c r="D27" s="4" t="n">
        <v>422</v>
      </c>
      <c r="E27" t="inlineStr">
        <is>
          <t>returns.entry_equity</t>
        </is>
      </c>
      <c r="F27" t="inlineStr">
        <is>
          <t>money, to 0.01</t>
        </is>
      </c>
    </row>
    <row r="28">
      <c r="A28" t="inlineStr">
        <is>
          <t>Base revenue = EBITDA / (gross margin - opex + D&amp;A)</t>
        </is>
      </c>
      <c r="B28" t="inlineStr">
        <is>
          <t>rev_0</t>
        </is>
      </c>
      <c r="C28" s="4">
        <f>$C$6/($C$7-$C$8+$C$9)</f>
        <v/>
      </c>
      <c r="D28" s="4" t="n">
        <v>400</v>
      </c>
    </row>
    <row r="29">
      <c r="A29" t="inlineStr">
        <is>
          <t>Y1 revenue</t>
        </is>
      </c>
      <c r="B29" t="inlineStr">
        <is>
          <t>rev_1</t>
        </is>
      </c>
      <c r="C29" s="4">
        <f>$C$28*(1+$C$10)</f>
        <v/>
      </c>
      <c r="D29" s="4" t="n">
        <v>400</v>
      </c>
      <c r="E29" t="inlineStr">
        <is>
          <t>operating_model.revenue.0</t>
        </is>
      </c>
      <c r="F29" t="inlineStr">
        <is>
          <t>money, to 0.01</t>
        </is>
      </c>
    </row>
    <row r="30">
      <c r="A30" t="inlineStr">
        <is>
          <t>Y1 EBIT = revenue x (gross margin - opex)</t>
        </is>
      </c>
      <c r="B30" t="inlineStr">
        <is>
          <t>ebit_1</t>
        </is>
      </c>
      <c r="C30" s="4">
        <f>$C$29*($C$7-$C$8)</f>
        <v/>
      </c>
      <c r="D30" s="4" t="n">
        <v>80</v>
      </c>
      <c r="E30" t="inlineStr">
        <is>
          <t>operating_model.ebit.0</t>
        </is>
      </c>
      <c r="F30" t="inlineStr">
        <is>
          <t>money, to 0.01</t>
        </is>
      </c>
    </row>
    <row r="31">
      <c r="A31" t="inlineStr">
        <is>
          <t>Y1 D&amp;A</t>
        </is>
      </c>
      <c r="B31" t="inlineStr">
        <is>
          <t>da_1</t>
        </is>
      </c>
      <c r="C31" s="4">
        <f>$C$29*$C$9</f>
        <v/>
      </c>
      <c r="D31" s="4" t="n">
        <v>20</v>
      </c>
      <c r="E31" t="inlineStr">
        <is>
          <t>operating_model.da.0</t>
        </is>
      </c>
      <c r="F31" t="inlineStr">
        <is>
          <t>money, to 0.01</t>
        </is>
      </c>
    </row>
    <row r="32">
      <c r="A32" t="inlineStr">
        <is>
          <t>Y1 EBITDA</t>
        </is>
      </c>
      <c r="B32" t="inlineStr">
        <is>
          <t>ebitda_1</t>
        </is>
      </c>
      <c r="C32" s="4">
        <f>$C$30+$C$31</f>
        <v/>
      </c>
      <c r="D32" s="4" t="n">
        <v>100</v>
      </c>
      <c r="E32" t="inlineStr">
        <is>
          <t>operating_model.ebitda.0</t>
        </is>
      </c>
      <c r="F32" t="inlineStr">
        <is>
          <t>money, to 0.01</t>
        </is>
      </c>
    </row>
    <row r="33">
      <c r="A33" t="inlineStr">
        <is>
          <t>Y1 capex</t>
        </is>
      </c>
      <c r="B33" t="inlineStr">
        <is>
          <t>capex_1</t>
        </is>
      </c>
      <c r="C33" s="4">
        <f>$C$29*$C$11</f>
        <v/>
      </c>
      <c r="D33" s="4" t="n">
        <v>20</v>
      </c>
      <c r="E33" t="inlineStr">
        <is>
          <t>cash_flow.capex.0</t>
        </is>
      </c>
      <c r="F33" t="inlineStr">
        <is>
          <t>money, to 0.01</t>
        </is>
      </c>
    </row>
    <row r="34">
      <c r="A34" t="inlineStr">
        <is>
          <t>Y1 change in working capital</t>
        </is>
      </c>
      <c r="B34" t="inlineStr">
        <is>
          <t>dnwc_1</t>
        </is>
      </c>
      <c r="C34" s="4">
        <f>$C$29*$C$12</f>
        <v/>
      </c>
      <c r="D34" s="4" t="n">
        <v>0</v>
      </c>
      <c r="E34" t="inlineStr">
        <is>
          <t>cash_flow.delta_nwc.0</t>
        </is>
      </c>
      <c r="F34" t="inlineStr">
        <is>
          <t>money, to 0.01</t>
        </is>
      </c>
    </row>
    <row r="35">
      <c r="A35" t="inlineStr">
        <is>
          <t>Y2 revenue</t>
        </is>
      </c>
      <c r="B35" t="inlineStr">
        <is>
          <t>rev_2</t>
        </is>
      </c>
      <c r="C35" s="4">
        <f>$C$29*(1+$C$10)</f>
        <v/>
      </c>
      <c r="D35" s="4" t="n">
        <v>400</v>
      </c>
      <c r="E35" t="inlineStr">
        <is>
          <t>operating_model.revenue.1</t>
        </is>
      </c>
      <c r="F35" t="inlineStr">
        <is>
          <t>money, to 0.01</t>
        </is>
      </c>
    </row>
    <row r="36">
      <c r="A36" t="inlineStr">
        <is>
          <t>Y2 EBIT = revenue x (gross margin - opex)</t>
        </is>
      </c>
      <c r="B36" t="inlineStr">
        <is>
          <t>ebit_2</t>
        </is>
      </c>
      <c r="C36" s="4">
        <f>$C$35*($C$7-$C$8)</f>
        <v/>
      </c>
      <c r="D36" s="4" t="n">
        <v>80</v>
      </c>
      <c r="E36" t="inlineStr">
        <is>
          <t>operating_model.ebit.1</t>
        </is>
      </c>
      <c r="F36" t="inlineStr">
        <is>
          <t>money, to 0.01</t>
        </is>
      </c>
    </row>
    <row r="37">
      <c r="A37" t="inlineStr">
        <is>
          <t>Y2 D&amp;A</t>
        </is>
      </c>
      <c r="B37" t="inlineStr">
        <is>
          <t>da_2</t>
        </is>
      </c>
      <c r="C37" s="4">
        <f>$C$35*$C$9</f>
        <v/>
      </c>
      <c r="D37" s="4" t="n">
        <v>20</v>
      </c>
      <c r="E37" t="inlineStr">
        <is>
          <t>operating_model.da.1</t>
        </is>
      </c>
      <c r="F37" t="inlineStr">
        <is>
          <t>money, to 0.01</t>
        </is>
      </c>
    </row>
    <row r="38">
      <c r="A38" t="inlineStr">
        <is>
          <t>Y2 EBITDA</t>
        </is>
      </c>
      <c r="B38" t="inlineStr">
        <is>
          <t>ebitda_2</t>
        </is>
      </c>
      <c r="C38" s="4">
        <f>$C$36+$C$37</f>
        <v/>
      </c>
      <c r="D38" s="4" t="n">
        <v>100</v>
      </c>
      <c r="E38" t="inlineStr">
        <is>
          <t>operating_model.ebitda.1</t>
        </is>
      </c>
      <c r="F38" t="inlineStr">
        <is>
          <t>money, to 0.01</t>
        </is>
      </c>
    </row>
    <row r="39">
      <c r="A39" t="inlineStr">
        <is>
          <t>Y2 capex</t>
        </is>
      </c>
      <c r="B39" t="inlineStr">
        <is>
          <t>capex_2</t>
        </is>
      </c>
      <c r="C39" s="4">
        <f>$C$35*$C$11</f>
        <v/>
      </c>
      <c r="D39" s="4" t="n">
        <v>20</v>
      </c>
      <c r="E39" t="inlineStr">
        <is>
          <t>cash_flow.capex.1</t>
        </is>
      </c>
      <c r="F39" t="inlineStr">
        <is>
          <t>money, to 0.01</t>
        </is>
      </c>
    </row>
    <row r="40">
      <c r="A40" t="inlineStr">
        <is>
          <t>Y2 change in working capital</t>
        </is>
      </c>
      <c r="B40" t="inlineStr">
        <is>
          <t>dnwc_2</t>
        </is>
      </c>
      <c r="C40" s="4">
        <f>$C$35*$C$12</f>
        <v/>
      </c>
      <c r="D40" s="4" t="n">
        <v>0</v>
      </c>
      <c r="E40" t="inlineStr">
        <is>
          <t>cash_flow.delta_nwc.1</t>
        </is>
      </c>
      <c r="F40" t="inlineStr">
        <is>
          <t>money, to 0.01</t>
        </is>
      </c>
    </row>
    <row r="41">
      <c r="A41" t="inlineStr">
        <is>
          <t>Y3 revenue</t>
        </is>
      </c>
      <c r="B41" t="inlineStr">
        <is>
          <t>rev_3</t>
        </is>
      </c>
      <c r="C41" s="4">
        <f>$C$35*(1+$C$10)</f>
        <v/>
      </c>
      <c r="D41" s="4" t="n">
        <v>400</v>
      </c>
      <c r="E41" t="inlineStr">
        <is>
          <t>operating_model.revenue.2</t>
        </is>
      </c>
      <c r="F41" t="inlineStr">
        <is>
          <t>money, to 0.01</t>
        </is>
      </c>
    </row>
    <row r="42">
      <c r="A42" t="inlineStr">
        <is>
          <t>Y3 EBIT = revenue x (gross margin - opex)</t>
        </is>
      </c>
      <c r="B42" t="inlineStr">
        <is>
          <t>ebit_3</t>
        </is>
      </c>
      <c r="C42" s="4">
        <f>$C$41*($C$7-$C$8)</f>
        <v/>
      </c>
      <c r="D42" s="4" t="n">
        <v>80</v>
      </c>
      <c r="E42" t="inlineStr">
        <is>
          <t>operating_model.ebit.2</t>
        </is>
      </c>
      <c r="F42" t="inlineStr">
        <is>
          <t>money, to 0.01</t>
        </is>
      </c>
    </row>
    <row r="43">
      <c r="A43" t="inlineStr">
        <is>
          <t>Y3 D&amp;A</t>
        </is>
      </c>
      <c r="B43" t="inlineStr">
        <is>
          <t>da_3</t>
        </is>
      </c>
      <c r="C43" s="4">
        <f>$C$41*$C$9</f>
        <v/>
      </c>
      <c r="D43" s="4" t="n">
        <v>20</v>
      </c>
      <c r="E43" t="inlineStr">
        <is>
          <t>operating_model.da.2</t>
        </is>
      </c>
      <c r="F43" t="inlineStr">
        <is>
          <t>money, to 0.01</t>
        </is>
      </c>
    </row>
    <row r="44">
      <c r="A44" t="inlineStr">
        <is>
          <t>Y3 EBITDA</t>
        </is>
      </c>
      <c r="B44" t="inlineStr">
        <is>
          <t>ebitda_3</t>
        </is>
      </c>
      <c r="C44" s="4">
        <f>$C$42+$C$43</f>
        <v/>
      </c>
      <c r="D44" s="4" t="n">
        <v>100</v>
      </c>
      <c r="E44" t="inlineStr">
        <is>
          <t>operating_model.ebitda.2</t>
        </is>
      </c>
      <c r="F44" t="inlineStr">
        <is>
          <t>money, to 0.01</t>
        </is>
      </c>
    </row>
    <row r="45">
      <c r="A45" t="inlineStr">
        <is>
          <t>Y3 capex</t>
        </is>
      </c>
      <c r="B45" t="inlineStr">
        <is>
          <t>capex_3</t>
        </is>
      </c>
      <c r="C45" s="4">
        <f>$C$41*$C$11</f>
        <v/>
      </c>
      <c r="D45" s="4" t="n">
        <v>20</v>
      </c>
      <c r="E45" t="inlineStr">
        <is>
          <t>cash_flow.capex.2</t>
        </is>
      </c>
      <c r="F45" t="inlineStr">
        <is>
          <t>money, to 0.01</t>
        </is>
      </c>
    </row>
    <row r="46">
      <c r="A46" t="inlineStr">
        <is>
          <t>Y3 change in working capital</t>
        </is>
      </c>
      <c r="B46" t="inlineStr">
        <is>
          <t>dnwc_3</t>
        </is>
      </c>
      <c r="C46" s="4">
        <f>$C$41*$C$12</f>
        <v/>
      </c>
      <c r="D46" s="4" t="n">
        <v>0</v>
      </c>
      <c r="E46" t="inlineStr">
        <is>
          <t>cash_flow.delta_nwc.2</t>
        </is>
      </c>
      <c r="F46" t="inlineStr">
        <is>
          <t>money, to 0.01</t>
        </is>
      </c>
    </row>
    <row r="47">
      <c r="A47" t="inlineStr">
        <is>
          <t>Y1 interest expense</t>
        </is>
      </c>
      <c r="B47" t="inlineStr">
        <is>
          <t>int_1</t>
        </is>
      </c>
      <c r="C47" s="4">
        <f>$C$25*$C$17</f>
        <v/>
      </c>
      <c r="D47" s="4" t="n">
        <v>40</v>
      </c>
      <c r="E47" t="inlineStr">
        <is>
          <t>operating_model.interest_expense.0</t>
        </is>
      </c>
      <c r="F47" t="inlineStr">
        <is>
          <t>money, to 0.01</t>
        </is>
      </c>
    </row>
    <row r="48">
      <c r="A48" t="inlineStr">
        <is>
          <t>Y1 profit before tax = EBIT - interest + interest income</t>
        </is>
      </c>
      <c r="B48" t="inlineStr">
        <is>
          <t>ebt_1</t>
        </is>
      </c>
      <c r="C48" s="4">
        <f>$C$30-$C$47+0</f>
        <v/>
      </c>
      <c r="D48" s="4" t="n">
        <v>40</v>
      </c>
      <c r="E48" t="inlineStr">
        <is>
          <t>operating_model.ebt.0</t>
        </is>
      </c>
      <c r="F48" t="inlineStr">
        <is>
          <t>money, to 0.01</t>
        </is>
      </c>
    </row>
    <row r="49">
      <c r="A49" t="inlineStr">
        <is>
          <t>Y1 tax</t>
        </is>
      </c>
      <c r="B49" t="inlineStr">
        <is>
          <t>tax_1</t>
        </is>
      </c>
      <c r="C49" s="4">
        <f>MAX($C$48,0)*$C$13</f>
        <v/>
      </c>
      <c r="D49" s="4" t="n">
        <v>10</v>
      </c>
      <c r="E49" t="inlineStr">
        <is>
          <t>operating_model.taxes.0</t>
        </is>
      </c>
      <c r="F49" t="inlineStr">
        <is>
          <t>money, to 0.01</t>
        </is>
      </c>
    </row>
    <row r="50">
      <c r="A50" t="inlineStr">
        <is>
          <t>Y1 net income</t>
        </is>
      </c>
      <c r="B50" t="inlineStr">
        <is>
          <t>ni_1</t>
        </is>
      </c>
      <c r="C50" s="4">
        <f>$C$48-$C$49</f>
        <v/>
      </c>
      <c r="D50" s="4" t="n">
        <v>30</v>
      </c>
      <c r="E50" t="inlineStr">
        <is>
          <t>operating_model.net_income.0</t>
        </is>
      </c>
      <c r="F50" t="inlineStr">
        <is>
          <t>money, to 0.01</t>
        </is>
      </c>
    </row>
    <row r="51">
      <c r="A51" t="inlineStr">
        <is>
          <t>Y1 levered free cash flow (before repaying debt)</t>
        </is>
      </c>
      <c r="B51" t="inlineStr">
        <is>
          <t>fcf_1</t>
        </is>
      </c>
      <c r="C51" s="4">
        <f>$C$50+$C$31-$C$33-$C$34</f>
        <v/>
      </c>
      <c r="D51" s="4" t="n">
        <v>30</v>
      </c>
      <c r="E51" t="inlineStr">
        <is>
          <t>cash_flow.levered_fcf.0</t>
        </is>
      </c>
      <c r="F51" t="inlineStr">
        <is>
          <t>money, to 0.01</t>
        </is>
      </c>
    </row>
    <row r="52">
      <c r="A52" t="inlineStr">
        <is>
          <t>Y1 closing cash above the minimum</t>
        </is>
      </c>
      <c r="B52" t="inlineStr">
        <is>
          <t>cash_1</t>
        </is>
      </c>
      <c r="C52" s="4">
        <f>0+$C$51</f>
        <v/>
      </c>
      <c r="D52" s="4" t="n">
        <v>30</v>
      </c>
    </row>
    <row r="53">
      <c r="A53" t="inlineStr">
        <is>
          <t>Y1 Notes closing balance</t>
        </is>
      </c>
      <c r="B53" t="inlineStr">
        <is>
          <t>bal_1</t>
        </is>
      </c>
      <c r="C53" s="4">
        <f>$C$25</f>
        <v/>
      </c>
      <c r="D53" s="4" t="n">
        <v>400</v>
      </c>
      <c r="E53" t="inlineStr">
        <is>
          <t>tranches.Notes.0.ending_balance</t>
        </is>
      </c>
      <c r="F53" t="inlineStr">
        <is>
          <t>money, to 0.01</t>
        </is>
      </c>
    </row>
    <row r="54">
      <c r="A54" t="inlineStr">
        <is>
          <t>Y2 interest expense</t>
        </is>
      </c>
      <c r="B54" t="inlineStr">
        <is>
          <t>int_2</t>
        </is>
      </c>
      <c r="C54" s="4">
        <f>$C$25*$C$17</f>
        <v/>
      </c>
      <c r="D54" s="4" t="n">
        <v>40</v>
      </c>
      <c r="E54" t="inlineStr">
        <is>
          <t>operating_model.interest_expense.1</t>
        </is>
      </c>
      <c r="F54" t="inlineStr">
        <is>
          <t>money, to 0.01</t>
        </is>
      </c>
    </row>
    <row r="55">
      <c r="A55" t="inlineStr">
        <is>
          <t>Y2 profit before tax = EBIT - interest + interest income</t>
        </is>
      </c>
      <c r="B55" t="inlineStr">
        <is>
          <t>ebt_2</t>
        </is>
      </c>
      <c r="C55" s="4">
        <f>$C$36-$C$54+0</f>
        <v/>
      </c>
      <c r="D55" s="4" t="n">
        <v>40</v>
      </c>
      <c r="E55" t="inlineStr">
        <is>
          <t>operating_model.ebt.1</t>
        </is>
      </c>
      <c r="F55" t="inlineStr">
        <is>
          <t>money, to 0.01</t>
        </is>
      </c>
    </row>
    <row r="56">
      <c r="A56" t="inlineStr">
        <is>
          <t>Y2 tax</t>
        </is>
      </c>
      <c r="B56" t="inlineStr">
        <is>
          <t>tax_2</t>
        </is>
      </c>
      <c r="C56" s="4">
        <f>MAX($C$55,0)*$C$13</f>
        <v/>
      </c>
      <c r="D56" s="4" t="n">
        <v>10</v>
      </c>
      <c r="E56" t="inlineStr">
        <is>
          <t>operating_model.taxes.1</t>
        </is>
      </c>
      <c r="F56" t="inlineStr">
        <is>
          <t>money, to 0.01</t>
        </is>
      </c>
    </row>
    <row r="57">
      <c r="A57" t="inlineStr">
        <is>
          <t>Y2 net income</t>
        </is>
      </c>
      <c r="B57" t="inlineStr">
        <is>
          <t>ni_2</t>
        </is>
      </c>
      <c r="C57" s="4">
        <f>$C$55-$C$56</f>
        <v/>
      </c>
      <c r="D57" s="4" t="n">
        <v>30</v>
      </c>
      <c r="E57" t="inlineStr">
        <is>
          <t>operating_model.net_income.1</t>
        </is>
      </c>
      <c r="F57" t="inlineStr">
        <is>
          <t>money, to 0.01</t>
        </is>
      </c>
    </row>
    <row r="58">
      <c r="A58" t="inlineStr">
        <is>
          <t>Y2 levered free cash flow (before repaying debt)</t>
        </is>
      </c>
      <c r="B58" t="inlineStr">
        <is>
          <t>fcf_2</t>
        </is>
      </c>
      <c r="C58" s="4">
        <f>$C$57+$C$37-$C$39-$C$40</f>
        <v/>
      </c>
      <c r="D58" s="4" t="n">
        <v>30</v>
      </c>
      <c r="E58" t="inlineStr">
        <is>
          <t>cash_flow.levered_fcf.1</t>
        </is>
      </c>
      <c r="F58" t="inlineStr">
        <is>
          <t>money, to 0.01</t>
        </is>
      </c>
    </row>
    <row r="59">
      <c r="A59" t="inlineStr">
        <is>
          <t>Y2 closing cash above the minimum</t>
        </is>
      </c>
      <c r="B59" t="inlineStr">
        <is>
          <t>cash_2</t>
        </is>
      </c>
      <c r="C59" s="4">
        <f>$C$52+$C$58</f>
        <v/>
      </c>
      <c r="D59" s="4" t="n">
        <v>60</v>
      </c>
    </row>
    <row r="60">
      <c r="A60" t="inlineStr">
        <is>
          <t>Y2 Notes closing balance</t>
        </is>
      </c>
      <c r="B60" t="inlineStr">
        <is>
          <t>bal_2</t>
        </is>
      </c>
      <c r="C60" s="4">
        <f>$C$25</f>
        <v/>
      </c>
      <c r="D60" s="4" t="n">
        <v>400</v>
      </c>
      <c r="E60" t="inlineStr">
        <is>
          <t>tranches.Notes.1.ending_balance</t>
        </is>
      </c>
      <c r="F60" t="inlineStr">
        <is>
          <t>money, to 0.01</t>
        </is>
      </c>
    </row>
    <row r="61">
      <c r="A61" t="inlineStr">
        <is>
          <t>Y3 interest expense</t>
        </is>
      </c>
      <c r="B61" t="inlineStr">
        <is>
          <t>int_3</t>
        </is>
      </c>
      <c r="C61" s="4">
        <f>$C$25*$C$17</f>
        <v/>
      </c>
      <c r="D61" s="4" t="n">
        <v>40</v>
      </c>
      <c r="E61" t="inlineStr">
        <is>
          <t>operating_model.interest_expense.2</t>
        </is>
      </c>
      <c r="F61" t="inlineStr">
        <is>
          <t>money, to 0.01</t>
        </is>
      </c>
    </row>
    <row r="62">
      <c r="A62" t="inlineStr">
        <is>
          <t>Y3 profit before tax = EBIT - interest + interest income</t>
        </is>
      </c>
      <c r="B62" t="inlineStr">
        <is>
          <t>ebt_3</t>
        </is>
      </c>
      <c r="C62" s="4">
        <f>$C$42-$C$61+0</f>
        <v/>
      </c>
      <c r="D62" s="4" t="n">
        <v>40</v>
      </c>
      <c r="E62" t="inlineStr">
        <is>
          <t>operating_model.ebt.2</t>
        </is>
      </c>
      <c r="F62" t="inlineStr">
        <is>
          <t>money, to 0.01</t>
        </is>
      </c>
    </row>
    <row r="63">
      <c r="A63" t="inlineStr">
        <is>
          <t>Y3 tax</t>
        </is>
      </c>
      <c r="B63" t="inlineStr">
        <is>
          <t>tax_3</t>
        </is>
      </c>
      <c r="C63" s="4">
        <f>MAX($C$62,0)*$C$13</f>
        <v/>
      </c>
      <c r="D63" s="4" t="n">
        <v>10</v>
      </c>
      <c r="E63" t="inlineStr">
        <is>
          <t>operating_model.taxes.2</t>
        </is>
      </c>
      <c r="F63" t="inlineStr">
        <is>
          <t>money, to 0.01</t>
        </is>
      </c>
    </row>
    <row r="64">
      <c r="A64" t="inlineStr">
        <is>
          <t>Y3 net income</t>
        </is>
      </c>
      <c r="B64" t="inlineStr">
        <is>
          <t>ni_3</t>
        </is>
      </c>
      <c r="C64" s="4">
        <f>$C$62-$C$63</f>
        <v/>
      </c>
      <c r="D64" s="4" t="n">
        <v>30</v>
      </c>
      <c r="E64" t="inlineStr">
        <is>
          <t>operating_model.net_income.2</t>
        </is>
      </c>
      <c r="F64" t="inlineStr">
        <is>
          <t>money, to 0.01</t>
        </is>
      </c>
    </row>
    <row r="65">
      <c r="A65" t="inlineStr">
        <is>
          <t>Y3 levered free cash flow (before repaying debt)</t>
        </is>
      </c>
      <c r="B65" t="inlineStr">
        <is>
          <t>fcf_3</t>
        </is>
      </c>
      <c r="C65" s="4">
        <f>$C$64+$C$43-$C$45-$C$46</f>
        <v/>
      </c>
      <c r="D65" s="4" t="n">
        <v>30</v>
      </c>
      <c r="E65" t="inlineStr">
        <is>
          <t>cash_flow.levered_fcf.2</t>
        </is>
      </c>
      <c r="F65" t="inlineStr">
        <is>
          <t>money, to 0.01</t>
        </is>
      </c>
    </row>
    <row r="66">
      <c r="A66" t="inlineStr">
        <is>
          <t>Y3 closing cash above the minimum</t>
        </is>
      </c>
      <c r="B66" t="inlineStr">
        <is>
          <t>cash_3</t>
        </is>
      </c>
      <c r="C66" s="4">
        <f>$C$59+$C$65</f>
        <v/>
      </c>
      <c r="D66" s="4" t="n">
        <v>90</v>
      </c>
    </row>
    <row r="67">
      <c r="A67" t="inlineStr">
        <is>
          <t>Y3 Notes closing balance</t>
        </is>
      </c>
      <c r="B67" t="inlineStr">
        <is>
          <t>bal_3</t>
        </is>
      </c>
      <c r="C67" s="4">
        <f>$C$25</f>
        <v/>
      </c>
      <c r="D67" s="4" t="n">
        <v>400</v>
      </c>
      <c r="E67" t="inlineStr">
        <is>
          <t>tranches.Notes.2.ending_balance</t>
        </is>
      </c>
      <c r="F67" t="inlineStr">
        <is>
          <t>money, to 0.01</t>
        </is>
      </c>
    </row>
    <row r="68">
      <c r="A68" t="inlineStr">
        <is>
          <t>Net debt at exit (debt - cash + lease liability)</t>
        </is>
      </c>
      <c r="B68" t="inlineStr">
        <is>
          <t>net_debt_exit</t>
        </is>
      </c>
      <c r="C68" s="4">
        <f>$C$67-$C$66</f>
        <v/>
      </c>
      <c r="D68" s="4" t="n">
        <v>310</v>
      </c>
      <c r="E68" t="inlineStr">
        <is>
          <t>returns.net_debt_at_exit</t>
        </is>
      </c>
      <c r="F68" t="inlineStr">
        <is>
          <t>money, to 0.01</t>
        </is>
      </c>
    </row>
    <row r="69">
      <c r="A69" t="inlineStr">
        <is>
          <t>Exit EV = (final-year EBITDA + lease add-back) x exit multiple</t>
        </is>
      </c>
      <c r="B69" t="inlineStr">
        <is>
          <t>exit_ev</t>
        </is>
      </c>
      <c r="C69" s="4">
        <f>($C$44+0)*$C$15</f>
        <v/>
      </c>
      <c r="D69" s="4" t="n">
        <v>800</v>
      </c>
      <c r="E69" t="inlineStr">
        <is>
          <t>returns.exit_ev</t>
        </is>
      </c>
      <c r="F69" t="inlineStr">
        <is>
          <t>money, to 0.01</t>
        </is>
      </c>
    </row>
    <row r="70">
      <c r="A70" t="inlineStr">
        <is>
          <t>Exit equity = exit EV - net debt</t>
        </is>
      </c>
      <c r="B70" t="inlineStr">
        <is>
          <t>exit_equity</t>
        </is>
      </c>
      <c r="C70" s="4">
        <f>$C$69-$C$68</f>
        <v/>
      </c>
      <c r="D70" s="4" t="n">
        <v>490</v>
      </c>
      <c r="E70" t="inlineStr">
        <is>
          <t>returns.net_exit_equity</t>
        </is>
      </c>
      <c r="F70" t="inlineStr">
        <is>
          <t>money, to 0.01</t>
        </is>
      </c>
    </row>
    <row r="71">
      <c r="A71" t="inlineStr">
        <is>
          <t>MOIC = exit equity / entry equity</t>
        </is>
      </c>
      <c r="B71" t="inlineStr">
        <is>
          <t>moic</t>
        </is>
      </c>
      <c r="C71" s="5">
        <f>$C$70/$C$27</f>
        <v/>
      </c>
      <c r="D71" s="5" t="n">
        <v>1.161137440758294</v>
      </c>
      <c r="E71" t="inlineStr">
        <is>
          <t>returns.moic</t>
        </is>
      </c>
      <c r="F71" t="inlineStr">
        <is>
          <t>multiple, to 0.01</t>
        </is>
      </c>
    </row>
    <row r="72">
      <c r="A72" t="inlineStr">
        <is>
          <t>IRR = MOIC ^ (1 / years) - 1</t>
        </is>
      </c>
      <c r="B72" t="inlineStr">
        <is>
          <t>irr</t>
        </is>
      </c>
      <c r="C72" s="6">
        <f>$C$71^(1/$C$16)-1</f>
        <v/>
      </c>
      <c r="D72" s="6" t="n">
        <v>0.05106089018205373</v>
      </c>
      <c r="E72" t="inlineStr">
        <is>
          <t>returns.irr</t>
        </is>
      </c>
      <c r="F72" t="inlineStr">
        <is>
          <t>per cent, to 0.01</t>
        </is>
      </c>
    </row>
    <row r="74">
      <c r="A74" s="3" t="inlineStr">
        <is>
          <t>Headline answers, typed by hand</t>
        </is>
      </c>
    </row>
    <row r="75">
      <c r="A75" t="inlineStr">
        <is>
          <t>Sponsor equity = EV + costs + minimum cash - debt - lease liability</t>
        </is>
      </c>
      <c r="B75" t="inlineStr">
        <is>
          <t>equity</t>
        </is>
      </c>
      <c r="D75" s="4" t="n">
        <v>422</v>
      </c>
    </row>
    <row r="76">
      <c r="A76" t="inlineStr">
        <is>
          <t>Exit equity = exit EV - net debt</t>
        </is>
      </c>
      <c r="B76" t="inlineStr">
        <is>
          <t>exit_equity</t>
        </is>
      </c>
      <c r="D76" s="4" t="n">
        <v>490</v>
      </c>
    </row>
  </sheetData>
  <mergeCells count="1">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7. Debt sized as a share of EV</t>
        </is>
      </c>
    </row>
    <row r="2">
      <c r="A2" t="inlineStr">
        <is>
          <t>Covers: single tranche, zero growth</t>
        </is>
      </c>
    </row>
    <row r="3" ht="90" customHeight="1">
      <c r="A3" s="2" t="inlineStr">
        <is>
          <t>The deal's percentage structure instead of a tranche list: debt 50% of EV (400), all senior at 10%, repaying 5% (20) a year with the rest of the cash swept. Repaying 20 and sweeping the rest takes the same cash as case 03's full sweep, so the balances match it.</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debt_pct</t>
        </is>
      </c>
      <c r="B18" t="inlineStr">
        <is>
          <t>debt_pct</t>
        </is>
      </c>
      <c r="C18" t="n">
        <v>0.5</v>
      </c>
    </row>
    <row r="19">
      <c r="A19" t="inlineStr">
        <is>
          <t>senior_pct</t>
        </is>
      </c>
      <c r="B19" t="inlineStr">
        <is>
          <t>senior_pct</t>
        </is>
      </c>
      <c r="C19" t="n">
        <v>1</v>
      </c>
    </row>
    <row r="20">
      <c r="A20" t="inlineStr">
        <is>
          <t>amort</t>
        </is>
      </c>
      <c r="B20" t="inlineStr">
        <is>
          <t>amort</t>
        </is>
      </c>
      <c r="C20" t="n">
        <v>0.05</v>
      </c>
    </row>
    <row r="22">
      <c r="A22" s="3" t="inlineStr">
        <is>
          <t>Working</t>
        </is>
      </c>
      <c r="B22" s="3" t="inlineStr">
        <is>
          <t>Name</t>
        </is>
      </c>
      <c r="C22" s="3" t="inlineStr">
        <is>
          <t>Formula</t>
        </is>
      </c>
      <c r="D22" s="3" t="inlineStr">
        <is>
          <t>Comes to</t>
        </is>
      </c>
      <c r="E22" s="3" t="inlineStr">
        <is>
          <t>Engine figure it must match</t>
        </is>
      </c>
      <c r="F22" s="3" t="inlineStr">
        <is>
          <t>Compared as</t>
        </is>
      </c>
    </row>
    <row r="23">
      <c r="A23" t="inlineStr">
        <is>
          <t>Operating EBITDA (what the model grows)</t>
        </is>
      </c>
      <c r="B23" t="inlineStr">
        <is>
          <t>op_ebitda</t>
        </is>
      </c>
      <c r="C23" s="4">
        <f>$C$6</f>
        <v/>
      </c>
      <c r="D23" s="4" t="n">
        <v>100</v>
      </c>
    </row>
    <row r="24">
      <c r="A24" t="inlineStr">
        <is>
          <t>Entry EV = (EBITDA + lease add-back) x entry multiple</t>
        </is>
      </c>
      <c r="B24" t="inlineStr">
        <is>
          <t>ev</t>
        </is>
      </c>
      <c r="C24" s="4">
        <f>($C$23+0)*$C$14</f>
        <v/>
      </c>
      <c r="D24" s="4" t="n">
        <v>800</v>
      </c>
    </row>
    <row r="25">
      <c r="A25" t="inlineStr">
        <is>
          <t>Debt drawn at close</t>
        </is>
      </c>
      <c r="B25" t="inlineStr">
        <is>
          <t>debt</t>
        </is>
      </c>
      <c r="C25" s="4">
        <f>$C$24*$C$18*$C$19</f>
        <v/>
      </c>
      <c r="D25" s="4" t="n">
        <v>400</v>
      </c>
    </row>
    <row r="26">
      <c r="A26" t="inlineStr">
        <is>
          <t>Entry costs (fees and other uses)</t>
        </is>
      </c>
      <c r="B26" t="inlineStr">
        <is>
          <t>costs</t>
        </is>
      </c>
      <c r="C26" s="4">
        <f>0</f>
        <v/>
      </c>
      <c r="D26" s="4" t="n">
        <v>0</v>
      </c>
    </row>
    <row r="27">
      <c r="A27" t="inlineStr">
        <is>
          <t>Sponsor equity = EV + costs + minimum cash - debt - lease liability</t>
        </is>
      </c>
      <c r="B27" t="inlineStr">
        <is>
          <t>equity</t>
        </is>
      </c>
      <c r="C27" s="4">
        <f>$C$24+$C$26+0-$C$25-0</f>
        <v/>
      </c>
      <c r="D27" s="4" t="n">
        <v>400</v>
      </c>
      <c r="E27" t="inlineStr">
        <is>
          <t>returns.entry_equity</t>
        </is>
      </c>
      <c r="F27" t="inlineStr">
        <is>
          <t>money, to 0.01</t>
        </is>
      </c>
    </row>
    <row r="28">
      <c r="A28" t="inlineStr">
        <is>
          <t>Base revenue = EBITDA / (gross margin - opex + D&amp;A)</t>
        </is>
      </c>
      <c r="B28" t="inlineStr">
        <is>
          <t>rev_0</t>
        </is>
      </c>
      <c r="C28" s="4">
        <f>$C$6/($C$7-$C$8+$C$9)</f>
        <v/>
      </c>
      <c r="D28" s="4" t="n">
        <v>400</v>
      </c>
    </row>
    <row r="29">
      <c r="A29" t="inlineStr">
        <is>
          <t>Y1 revenue</t>
        </is>
      </c>
      <c r="B29" t="inlineStr">
        <is>
          <t>rev_1</t>
        </is>
      </c>
      <c r="C29" s="4">
        <f>$C$28*(1+$C$10)</f>
        <v/>
      </c>
      <c r="D29" s="4" t="n">
        <v>400</v>
      </c>
      <c r="E29" t="inlineStr">
        <is>
          <t>operating_model.revenue.0</t>
        </is>
      </c>
      <c r="F29" t="inlineStr">
        <is>
          <t>money, to 0.01</t>
        </is>
      </c>
    </row>
    <row r="30">
      <c r="A30" t="inlineStr">
        <is>
          <t>Y1 EBIT = revenue x (gross margin - opex)</t>
        </is>
      </c>
      <c r="B30" t="inlineStr">
        <is>
          <t>ebit_1</t>
        </is>
      </c>
      <c r="C30" s="4">
        <f>$C$29*($C$7-$C$8)</f>
        <v/>
      </c>
      <c r="D30" s="4" t="n">
        <v>80</v>
      </c>
      <c r="E30" t="inlineStr">
        <is>
          <t>operating_model.ebit.0</t>
        </is>
      </c>
      <c r="F30" t="inlineStr">
        <is>
          <t>money, to 0.01</t>
        </is>
      </c>
    </row>
    <row r="31">
      <c r="A31" t="inlineStr">
        <is>
          <t>Y1 D&amp;A</t>
        </is>
      </c>
      <c r="B31" t="inlineStr">
        <is>
          <t>da_1</t>
        </is>
      </c>
      <c r="C31" s="4">
        <f>$C$29*$C$9</f>
        <v/>
      </c>
      <c r="D31" s="4" t="n">
        <v>20</v>
      </c>
      <c r="E31" t="inlineStr">
        <is>
          <t>operating_model.da.0</t>
        </is>
      </c>
      <c r="F31" t="inlineStr">
        <is>
          <t>money, to 0.01</t>
        </is>
      </c>
    </row>
    <row r="32">
      <c r="A32" t="inlineStr">
        <is>
          <t>Y1 EBITDA</t>
        </is>
      </c>
      <c r="B32" t="inlineStr">
        <is>
          <t>ebitda_1</t>
        </is>
      </c>
      <c r="C32" s="4">
        <f>$C$30+$C$31</f>
        <v/>
      </c>
      <c r="D32" s="4" t="n">
        <v>100</v>
      </c>
      <c r="E32" t="inlineStr">
        <is>
          <t>operating_model.ebitda.0</t>
        </is>
      </c>
      <c r="F32" t="inlineStr">
        <is>
          <t>money, to 0.01</t>
        </is>
      </c>
    </row>
    <row r="33">
      <c r="A33" t="inlineStr">
        <is>
          <t>Y1 capex</t>
        </is>
      </c>
      <c r="B33" t="inlineStr">
        <is>
          <t>capex_1</t>
        </is>
      </c>
      <c r="C33" s="4">
        <f>$C$29*$C$11</f>
        <v/>
      </c>
      <c r="D33" s="4" t="n">
        <v>20</v>
      </c>
      <c r="E33" t="inlineStr">
        <is>
          <t>cash_flow.capex.0</t>
        </is>
      </c>
      <c r="F33" t="inlineStr">
        <is>
          <t>money, to 0.01</t>
        </is>
      </c>
    </row>
    <row r="34">
      <c r="A34" t="inlineStr">
        <is>
          <t>Y1 change in working capital</t>
        </is>
      </c>
      <c r="B34" t="inlineStr">
        <is>
          <t>dnwc_1</t>
        </is>
      </c>
      <c r="C34" s="4">
        <f>$C$29*$C$12</f>
        <v/>
      </c>
      <c r="D34" s="4" t="n">
        <v>0</v>
      </c>
      <c r="E34" t="inlineStr">
        <is>
          <t>cash_flow.delta_nwc.0</t>
        </is>
      </c>
      <c r="F34" t="inlineStr">
        <is>
          <t>money, to 0.01</t>
        </is>
      </c>
    </row>
    <row r="35">
      <c r="A35" t="inlineStr">
        <is>
          <t>Y2 revenue</t>
        </is>
      </c>
      <c r="B35" t="inlineStr">
        <is>
          <t>rev_2</t>
        </is>
      </c>
      <c r="C35" s="4">
        <f>$C$29*(1+$C$10)</f>
        <v/>
      </c>
      <c r="D35" s="4" t="n">
        <v>400</v>
      </c>
      <c r="E35" t="inlineStr">
        <is>
          <t>operating_model.revenue.1</t>
        </is>
      </c>
      <c r="F35" t="inlineStr">
        <is>
          <t>money, to 0.01</t>
        </is>
      </c>
    </row>
    <row r="36">
      <c r="A36" t="inlineStr">
        <is>
          <t>Y2 EBIT = revenue x (gross margin - opex)</t>
        </is>
      </c>
      <c r="B36" t="inlineStr">
        <is>
          <t>ebit_2</t>
        </is>
      </c>
      <c r="C36" s="4">
        <f>$C$35*($C$7-$C$8)</f>
        <v/>
      </c>
      <c r="D36" s="4" t="n">
        <v>80</v>
      </c>
      <c r="E36" t="inlineStr">
        <is>
          <t>operating_model.ebit.1</t>
        </is>
      </c>
      <c r="F36" t="inlineStr">
        <is>
          <t>money, to 0.01</t>
        </is>
      </c>
    </row>
    <row r="37">
      <c r="A37" t="inlineStr">
        <is>
          <t>Y2 D&amp;A</t>
        </is>
      </c>
      <c r="B37" t="inlineStr">
        <is>
          <t>da_2</t>
        </is>
      </c>
      <c r="C37" s="4">
        <f>$C$35*$C$9</f>
        <v/>
      </c>
      <c r="D37" s="4" t="n">
        <v>20</v>
      </c>
      <c r="E37" t="inlineStr">
        <is>
          <t>operating_model.da.1</t>
        </is>
      </c>
      <c r="F37" t="inlineStr">
        <is>
          <t>money, to 0.01</t>
        </is>
      </c>
    </row>
    <row r="38">
      <c r="A38" t="inlineStr">
        <is>
          <t>Y2 EBITDA</t>
        </is>
      </c>
      <c r="B38" t="inlineStr">
        <is>
          <t>ebitda_2</t>
        </is>
      </c>
      <c r="C38" s="4">
        <f>$C$36+$C$37</f>
        <v/>
      </c>
      <c r="D38" s="4" t="n">
        <v>100</v>
      </c>
      <c r="E38" t="inlineStr">
        <is>
          <t>operating_model.ebitda.1</t>
        </is>
      </c>
      <c r="F38" t="inlineStr">
        <is>
          <t>money, to 0.01</t>
        </is>
      </c>
    </row>
    <row r="39">
      <c r="A39" t="inlineStr">
        <is>
          <t>Y2 capex</t>
        </is>
      </c>
      <c r="B39" t="inlineStr">
        <is>
          <t>capex_2</t>
        </is>
      </c>
      <c r="C39" s="4">
        <f>$C$35*$C$11</f>
        <v/>
      </c>
      <c r="D39" s="4" t="n">
        <v>20</v>
      </c>
      <c r="E39" t="inlineStr">
        <is>
          <t>cash_flow.capex.1</t>
        </is>
      </c>
      <c r="F39" t="inlineStr">
        <is>
          <t>money, to 0.01</t>
        </is>
      </c>
    </row>
    <row r="40">
      <c r="A40" t="inlineStr">
        <is>
          <t>Y2 change in working capital</t>
        </is>
      </c>
      <c r="B40" t="inlineStr">
        <is>
          <t>dnwc_2</t>
        </is>
      </c>
      <c r="C40" s="4">
        <f>$C$35*$C$12</f>
        <v/>
      </c>
      <c r="D40" s="4" t="n">
        <v>0</v>
      </c>
      <c r="E40" t="inlineStr">
        <is>
          <t>cash_flow.delta_nwc.1</t>
        </is>
      </c>
      <c r="F40" t="inlineStr">
        <is>
          <t>money, to 0.01</t>
        </is>
      </c>
    </row>
    <row r="41">
      <c r="A41" t="inlineStr">
        <is>
          <t>Y3 revenue</t>
        </is>
      </c>
      <c r="B41" t="inlineStr">
        <is>
          <t>rev_3</t>
        </is>
      </c>
      <c r="C41" s="4">
        <f>$C$35*(1+$C$10)</f>
        <v/>
      </c>
      <c r="D41" s="4" t="n">
        <v>400</v>
      </c>
      <c r="E41" t="inlineStr">
        <is>
          <t>operating_model.revenue.2</t>
        </is>
      </c>
      <c r="F41" t="inlineStr">
        <is>
          <t>money, to 0.01</t>
        </is>
      </c>
    </row>
    <row r="42">
      <c r="A42" t="inlineStr">
        <is>
          <t>Y3 EBIT = revenue x (gross margin - opex)</t>
        </is>
      </c>
      <c r="B42" t="inlineStr">
        <is>
          <t>ebit_3</t>
        </is>
      </c>
      <c r="C42" s="4">
        <f>$C$41*($C$7-$C$8)</f>
        <v/>
      </c>
      <c r="D42" s="4" t="n">
        <v>80</v>
      </c>
      <c r="E42" t="inlineStr">
        <is>
          <t>operating_model.ebit.2</t>
        </is>
      </c>
      <c r="F42" t="inlineStr">
        <is>
          <t>money, to 0.01</t>
        </is>
      </c>
    </row>
    <row r="43">
      <c r="A43" t="inlineStr">
        <is>
          <t>Y3 D&amp;A</t>
        </is>
      </c>
      <c r="B43" t="inlineStr">
        <is>
          <t>da_3</t>
        </is>
      </c>
      <c r="C43" s="4">
        <f>$C$41*$C$9</f>
        <v/>
      </c>
      <c r="D43" s="4" t="n">
        <v>20</v>
      </c>
      <c r="E43" t="inlineStr">
        <is>
          <t>operating_model.da.2</t>
        </is>
      </c>
      <c r="F43" t="inlineStr">
        <is>
          <t>money, to 0.01</t>
        </is>
      </c>
    </row>
    <row r="44">
      <c r="A44" t="inlineStr">
        <is>
          <t>Y3 EBITDA</t>
        </is>
      </c>
      <c r="B44" t="inlineStr">
        <is>
          <t>ebitda_3</t>
        </is>
      </c>
      <c r="C44" s="4">
        <f>$C$42+$C$43</f>
        <v/>
      </c>
      <c r="D44" s="4" t="n">
        <v>100</v>
      </c>
      <c r="E44" t="inlineStr">
        <is>
          <t>operating_model.ebitda.2</t>
        </is>
      </c>
      <c r="F44" t="inlineStr">
        <is>
          <t>money, to 0.01</t>
        </is>
      </c>
    </row>
    <row r="45">
      <c r="A45" t="inlineStr">
        <is>
          <t>Y3 capex</t>
        </is>
      </c>
      <c r="B45" t="inlineStr">
        <is>
          <t>capex_3</t>
        </is>
      </c>
      <c r="C45" s="4">
        <f>$C$41*$C$11</f>
        <v/>
      </c>
      <c r="D45" s="4" t="n">
        <v>20</v>
      </c>
      <c r="E45" t="inlineStr">
        <is>
          <t>cash_flow.capex.2</t>
        </is>
      </c>
      <c r="F45" t="inlineStr">
        <is>
          <t>money, to 0.01</t>
        </is>
      </c>
    </row>
    <row r="46">
      <c r="A46" t="inlineStr">
        <is>
          <t>Y3 change in working capital</t>
        </is>
      </c>
      <c r="B46" t="inlineStr">
        <is>
          <t>dnwc_3</t>
        </is>
      </c>
      <c r="C46" s="4">
        <f>$C$41*$C$12</f>
        <v/>
      </c>
      <c r="D46" s="4" t="n">
        <v>0</v>
      </c>
      <c r="E46" t="inlineStr">
        <is>
          <t>cash_flow.delta_nwc.2</t>
        </is>
      </c>
      <c r="F46" t="inlineStr">
        <is>
          <t>money, to 0.01</t>
        </is>
      </c>
    </row>
    <row r="47">
      <c r="A47" t="inlineStr">
        <is>
          <t>Senior loan at close</t>
        </is>
      </c>
      <c r="B47" t="inlineStr">
        <is>
          <t>bal_0</t>
        </is>
      </c>
      <c r="C47" s="4">
        <f>$C$25</f>
        <v/>
      </c>
      <c r="D47" s="4" t="n">
        <v>400</v>
      </c>
    </row>
    <row r="48">
      <c r="A48" t="inlineStr">
        <is>
          <t>Y1 Senior Term Loan opening balance</t>
        </is>
      </c>
      <c r="B48" t="inlineStr">
        <is>
          <t>opening_1</t>
        </is>
      </c>
      <c r="C48" s="4">
        <f>$C$47</f>
        <v/>
      </c>
      <c r="D48" s="4" t="n">
        <v>400</v>
      </c>
      <c r="E48" t="inlineStr">
        <is>
          <t>tranches.Senior Term Loan.0.beginning_balance</t>
        </is>
      </c>
      <c r="F48" t="inlineStr">
        <is>
          <t>money, to 0.01</t>
        </is>
      </c>
    </row>
    <row r="49">
      <c r="A49" t="inlineStr">
        <is>
          <t>Y1 interest expense</t>
        </is>
      </c>
      <c r="B49" t="inlineStr">
        <is>
          <t>int_1</t>
        </is>
      </c>
      <c r="C49" s="4">
        <f>$C$47*$C$17</f>
        <v/>
      </c>
      <c r="D49" s="4" t="n">
        <v>40</v>
      </c>
      <c r="E49" t="inlineStr">
        <is>
          <t>operating_model.interest_expense.0</t>
        </is>
      </c>
      <c r="F49" t="inlineStr">
        <is>
          <t>money, to 0.01</t>
        </is>
      </c>
    </row>
    <row r="50">
      <c r="A50" t="inlineStr">
        <is>
          <t>Y1 profit before tax = EBIT - interest + interest income</t>
        </is>
      </c>
      <c r="B50" t="inlineStr">
        <is>
          <t>ebt_1</t>
        </is>
      </c>
      <c r="C50" s="4">
        <f>$C$30-$C$49+0</f>
        <v/>
      </c>
      <c r="D50" s="4" t="n">
        <v>40</v>
      </c>
      <c r="E50" t="inlineStr">
        <is>
          <t>operating_model.ebt.0</t>
        </is>
      </c>
      <c r="F50" t="inlineStr">
        <is>
          <t>money, to 0.01</t>
        </is>
      </c>
    </row>
    <row r="51">
      <c r="A51" t="inlineStr">
        <is>
          <t>Y1 tax</t>
        </is>
      </c>
      <c r="B51" t="inlineStr">
        <is>
          <t>tax_1</t>
        </is>
      </c>
      <c r="C51" s="4">
        <f>MAX($C$50,0)*$C$13</f>
        <v/>
      </c>
      <c r="D51" s="4" t="n">
        <v>10</v>
      </c>
      <c r="E51" t="inlineStr">
        <is>
          <t>operating_model.taxes.0</t>
        </is>
      </c>
      <c r="F51" t="inlineStr">
        <is>
          <t>money, to 0.01</t>
        </is>
      </c>
    </row>
    <row r="52">
      <c r="A52" t="inlineStr">
        <is>
          <t>Y1 net income</t>
        </is>
      </c>
      <c r="B52" t="inlineStr">
        <is>
          <t>ni_1</t>
        </is>
      </c>
      <c r="C52" s="4">
        <f>$C$50-$C$51</f>
        <v/>
      </c>
      <c r="D52" s="4" t="n">
        <v>30</v>
      </c>
      <c r="E52" t="inlineStr">
        <is>
          <t>operating_model.net_income.0</t>
        </is>
      </c>
      <c r="F52" t="inlineStr">
        <is>
          <t>money, to 0.01</t>
        </is>
      </c>
    </row>
    <row r="53">
      <c r="A53" t="inlineStr">
        <is>
          <t>Y1 levered free cash flow (before repaying debt)</t>
        </is>
      </c>
      <c r="B53" t="inlineStr">
        <is>
          <t>fcf_1</t>
        </is>
      </c>
      <c r="C53" s="4">
        <f>$C$52+$C$31-$C$33-$C$34</f>
        <v/>
      </c>
      <c r="D53" s="4" t="n">
        <v>30</v>
      </c>
      <c r="E53" t="inlineStr">
        <is>
          <t>cash_flow.levered_fcf.0</t>
        </is>
      </c>
      <c r="F53" t="inlineStr">
        <is>
          <t>money, to 0.01</t>
        </is>
      </c>
    </row>
    <row r="54">
      <c r="A54" t="inlineStr">
        <is>
          <t>Y1 mandatory repayment</t>
        </is>
      </c>
      <c r="B54" t="inlineStr">
        <is>
          <t>mand_1</t>
        </is>
      </c>
      <c r="C54" s="4">
        <f>MIN($C$25*$C$20,$C$47)</f>
        <v/>
      </c>
      <c r="D54" s="4" t="n">
        <v>20</v>
      </c>
      <c r="E54" t="inlineStr">
        <is>
          <t>debt_schedule.total_mandatory_repayment.0</t>
        </is>
      </c>
      <c r="F54" t="inlineStr">
        <is>
          <t>money, to 0.01</t>
        </is>
      </c>
    </row>
    <row r="55">
      <c r="A55" t="inlineStr">
        <is>
          <t>Y1 cash sweep = cash left after the mandatory repayment</t>
        </is>
      </c>
      <c r="B55" t="inlineStr">
        <is>
          <t>sweep_1</t>
        </is>
      </c>
      <c r="C55" s="4">
        <f>MIN(MAX($C$53-$C$54,0),$C$47-$C$54)</f>
        <v/>
      </c>
      <c r="D55" s="4" t="n">
        <v>10</v>
      </c>
      <c r="E55" t="inlineStr">
        <is>
          <t>debt_schedule.total_cash_sweep.0</t>
        </is>
      </c>
      <c r="F55" t="inlineStr">
        <is>
          <t>money, to 0.01</t>
        </is>
      </c>
    </row>
    <row r="56">
      <c r="A56" t="inlineStr">
        <is>
          <t>Y1 Senior Term Loan closing balance</t>
        </is>
      </c>
      <c r="B56" t="inlineStr">
        <is>
          <t>bal_1</t>
        </is>
      </c>
      <c r="C56" s="4">
        <f>$C$47-$C$54-$C$55</f>
        <v/>
      </c>
      <c r="D56" s="4" t="n">
        <v>370</v>
      </c>
      <c r="E56" t="inlineStr">
        <is>
          <t>tranches.Senior Term Loan.0.ending_balance</t>
        </is>
      </c>
      <c r="F56" t="inlineStr">
        <is>
          <t>money, to 0.01</t>
        </is>
      </c>
    </row>
    <row r="57">
      <c r="A57" t="inlineStr">
        <is>
          <t>Y2 Senior Term Loan opening balance</t>
        </is>
      </c>
      <c r="B57" t="inlineStr">
        <is>
          <t>opening_2</t>
        </is>
      </c>
      <c r="C57" s="4">
        <f>$C$56</f>
        <v/>
      </c>
      <c r="D57" s="4" t="n">
        <v>370</v>
      </c>
      <c r="E57" t="inlineStr">
        <is>
          <t>tranches.Senior Term Loan.1.beginning_balance</t>
        </is>
      </c>
      <c r="F57" t="inlineStr">
        <is>
          <t>money, to 0.01</t>
        </is>
      </c>
    </row>
    <row r="58">
      <c r="A58" t="inlineStr">
        <is>
          <t>Y2 interest expense</t>
        </is>
      </c>
      <c r="B58" t="inlineStr">
        <is>
          <t>int_2</t>
        </is>
      </c>
      <c r="C58" s="4">
        <f>$C$56*$C$17</f>
        <v/>
      </c>
      <c r="D58" s="4" t="n">
        <v>37</v>
      </c>
      <c r="E58" t="inlineStr">
        <is>
          <t>operating_model.interest_expense.1</t>
        </is>
      </c>
      <c r="F58" t="inlineStr">
        <is>
          <t>money, to 0.01</t>
        </is>
      </c>
    </row>
    <row r="59">
      <c r="A59" t="inlineStr">
        <is>
          <t>Y2 profit before tax = EBIT - interest + interest income</t>
        </is>
      </c>
      <c r="B59" t="inlineStr">
        <is>
          <t>ebt_2</t>
        </is>
      </c>
      <c r="C59" s="4">
        <f>$C$36-$C$58+0</f>
        <v/>
      </c>
      <c r="D59" s="4" t="n">
        <v>43</v>
      </c>
      <c r="E59" t="inlineStr">
        <is>
          <t>operating_model.ebt.1</t>
        </is>
      </c>
      <c r="F59" t="inlineStr">
        <is>
          <t>money, to 0.01</t>
        </is>
      </c>
    </row>
    <row r="60">
      <c r="A60" t="inlineStr">
        <is>
          <t>Y2 tax</t>
        </is>
      </c>
      <c r="B60" t="inlineStr">
        <is>
          <t>tax_2</t>
        </is>
      </c>
      <c r="C60" s="4">
        <f>MAX($C$59,0)*$C$13</f>
        <v/>
      </c>
      <c r="D60" s="4" t="n">
        <v>10.75</v>
      </c>
      <c r="E60" t="inlineStr">
        <is>
          <t>operating_model.taxes.1</t>
        </is>
      </c>
      <c r="F60" t="inlineStr">
        <is>
          <t>money, to 0.01</t>
        </is>
      </c>
    </row>
    <row r="61">
      <c r="A61" t="inlineStr">
        <is>
          <t>Y2 net income</t>
        </is>
      </c>
      <c r="B61" t="inlineStr">
        <is>
          <t>ni_2</t>
        </is>
      </c>
      <c r="C61" s="4">
        <f>$C$59-$C$60</f>
        <v/>
      </c>
      <c r="D61" s="4" t="n">
        <v>32.25</v>
      </c>
      <c r="E61" t="inlineStr">
        <is>
          <t>operating_model.net_income.1</t>
        </is>
      </c>
      <c r="F61" t="inlineStr">
        <is>
          <t>money, to 0.01</t>
        </is>
      </c>
    </row>
    <row r="62">
      <c r="A62" t="inlineStr">
        <is>
          <t>Y2 levered free cash flow (before repaying debt)</t>
        </is>
      </c>
      <c r="B62" t="inlineStr">
        <is>
          <t>fcf_2</t>
        </is>
      </c>
      <c r="C62" s="4">
        <f>$C$61+$C$37-$C$39-$C$40</f>
        <v/>
      </c>
      <c r="D62" s="4" t="n">
        <v>32.25</v>
      </c>
      <c r="E62" t="inlineStr">
        <is>
          <t>cash_flow.levered_fcf.1</t>
        </is>
      </c>
      <c r="F62" t="inlineStr">
        <is>
          <t>money, to 0.01</t>
        </is>
      </c>
    </row>
    <row r="63">
      <c r="A63" t="inlineStr">
        <is>
          <t>Y2 mandatory repayment</t>
        </is>
      </c>
      <c r="B63" t="inlineStr">
        <is>
          <t>mand_2</t>
        </is>
      </c>
      <c r="C63" s="4">
        <f>MIN($C$25*$C$20,$C$56)</f>
        <v/>
      </c>
      <c r="D63" s="4" t="n">
        <v>20</v>
      </c>
      <c r="E63" t="inlineStr">
        <is>
          <t>debt_schedule.total_mandatory_repayment.1</t>
        </is>
      </c>
      <c r="F63" t="inlineStr">
        <is>
          <t>money, to 0.01</t>
        </is>
      </c>
    </row>
    <row r="64">
      <c r="A64" t="inlineStr">
        <is>
          <t>Y2 cash sweep = cash left after the mandatory repayment</t>
        </is>
      </c>
      <c r="B64" t="inlineStr">
        <is>
          <t>sweep_2</t>
        </is>
      </c>
      <c r="C64" s="4">
        <f>MIN(MAX($C$62-$C$63,0),$C$56-$C$63)</f>
        <v/>
      </c>
      <c r="D64" s="4" t="n">
        <v>12.25</v>
      </c>
      <c r="E64" t="inlineStr">
        <is>
          <t>debt_schedule.total_cash_sweep.1</t>
        </is>
      </c>
      <c r="F64" t="inlineStr">
        <is>
          <t>money, to 0.01</t>
        </is>
      </c>
    </row>
    <row r="65">
      <c r="A65" t="inlineStr">
        <is>
          <t>Y2 Senior Term Loan closing balance</t>
        </is>
      </c>
      <c r="B65" t="inlineStr">
        <is>
          <t>bal_2</t>
        </is>
      </c>
      <c r="C65" s="4">
        <f>$C$56-$C$63-$C$64</f>
        <v/>
      </c>
      <c r="D65" s="4" t="n">
        <v>337.75</v>
      </c>
      <c r="E65" t="inlineStr">
        <is>
          <t>tranches.Senior Term Loan.1.ending_balance</t>
        </is>
      </c>
      <c r="F65" t="inlineStr">
        <is>
          <t>money, to 0.01</t>
        </is>
      </c>
    </row>
    <row r="66">
      <c r="A66" t="inlineStr">
        <is>
          <t>Y3 Senior Term Loan opening balance</t>
        </is>
      </c>
      <c r="B66" t="inlineStr">
        <is>
          <t>opening_3</t>
        </is>
      </c>
      <c r="C66" s="4">
        <f>$C$65</f>
        <v/>
      </c>
      <c r="D66" s="4" t="n">
        <v>337.75</v>
      </c>
      <c r="E66" t="inlineStr">
        <is>
          <t>tranches.Senior Term Loan.2.beginning_balance</t>
        </is>
      </c>
      <c r="F66" t="inlineStr">
        <is>
          <t>money, to 0.01</t>
        </is>
      </c>
    </row>
    <row r="67">
      <c r="A67" t="inlineStr">
        <is>
          <t>Y3 interest expense</t>
        </is>
      </c>
      <c r="B67" t="inlineStr">
        <is>
          <t>int_3</t>
        </is>
      </c>
      <c r="C67" s="4">
        <f>$C$65*$C$17</f>
        <v/>
      </c>
      <c r="D67" s="4" t="n">
        <v>33.775</v>
      </c>
      <c r="E67" t="inlineStr">
        <is>
          <t>operating_model.interest_expense.2</t>
        </is>
      </c>
      <c r="F67" t="inlineStr">
        <is>
          <t>money, to 0.01</t>
        </is>
      </c>
    </row>
    <row r="68">
      <c r="A68" t="inlineStr">
        <is>
          <t>Y3 profit before tax = EBIT - interest + interest income</t>
        </is>
      </c>
      <c r="B68" t="inlineStr">
        <is>
          <t>ebt_3</t>
        </is>
      </c>
      <c r="C68" s="4">
        <f>$C$42-$C$67+0</f>
        <v/>
      </c>
      <c r="D68" s="4" t="n">
        <v>46.225</v>
      </c>
      <c r="E68" t="inlineStr">
        <is>
          <t>operating_model.ebt.2</t>
        </is>
      </c>
      <c r="F68" t="inlineStr">
        <is>
          <t>money, to 0.01</t>
        </is>
      </c>
    </row>
    <row r="69">
      <c r="A69" t="inlineStr">
        <is>
          <t>Y3 tax</t>
        </is>
      </c>
      <c r="B69" t="inlineStr">
        <is>
          <t>tax_3</t>
        </is>
      </c>
      <c r="C69" s="4">
        <f>MAX($C$68,0)*$C$13</f>
        <v/>
      </c>
      <c r="D69" s="4" t="n">
        <v>11.55625</v>
      </c>
      <c r="E69" t="inlineStr">
        <is>
          <t>operating_model.taxes.2</t>
        </is>
      </c>
      <c r="F69" t="inlineStr">
        <is>
          <t>money, to 0.01</t>
        </is>
      </c>
    </row>
    <row r="70">
      <c r="A70" t="inlineStr">
        <is>
          <t>Y3 net income</t>
        </is>
      </c>
      <c r="B70" t="inlineStr">
        <is>
          <t>ni_3</t>
        </is>
      </c>
      <c r="C70" s="4">
        <f>$C$68-$C$69</f>
        <v/>
      </c>
      <c r="D70" s="4" t="n">
        <v>34.66875</v>
      </c>
      <c r="E70" t="inlineStr">
        <is>
          <t>operating_model.net_income.2</t>
        </is>
      </c>
      <c r="F70" t="inlineStr">
        <is>
          <t>money, to 0.01</t>
        </is>
      </c>
    </row>
    <row r="71">
      <c r="A71" t="inlineStr">
        <is>
          <t>Y3 levered free cash flow (before repaying debt)</t>
        </is>
      </c>
      <c r="B71" t="inlineStr">
        <is>
          <t>fcf_3</t>
        </is>
      </c>
      <c r="C71" s="4">
        <f>$C$70+$C$43-$C$45-$C$46</f>
        <v/>
      </c>
      <c r="D71" s="4" t="n">
        <v>34.66875</v>
      </c>
      <c r="E71" t="inlineStr">
        <is>
          <t>cash_flow.levered_fcf.2</t>
        </is>
      </c>
      <c r="F71" t="inlineStr">
        <is>
          <t>money, to 0.01</t>
        </is>
      </c>
    </row>
    <row r="72">
      <c r="A72" t="inlineStr">
        <is>
          <t>Y3 mandatory repayment</t>
        </is>
      </c>
      <c r="B72" t="inlineStr">
        <is>
          <t>mand_3</t>
        </is>
      </c>
      <c r="C72" s="4">
        <f>MIN($C$25*$C$20,$C$65)</f>
        <v/>
      </c>
      <c r="D72" s="4" t="n">
        <v>20</v>
      </c>
      <c r="E72" t="inlineStr">
        <is>
          <t>debt_schedule.total_mandatory_repayment.2</t>
        </is>
      </c>
      <c r="F72" t="inlineStr">
        <is>
          <t>money, to 0.01</t>
        </is>
      </c>
    </row>
    <row r="73">
      <c r="A73" t="inlineStr">
        <is>
          <t>Y3 cash sweep = cash left after the mandatory repayment</t>
        </is>
      </c>
      <c r="B73" t="inlineStr">
        <is>
          <t>sweep_3</t>
        </is>
      </c>
      <c r="C73" s="4">
        <f>MIN(MAX($C$71-$C$72,0),$C$65-$C$72)</f>
        <v/>
      </c>
      <c r="D73" s="4" t="n">
        <v>14.66875</v>
      </c>
      <c r="E73" t="inlineStr">
        <is>
          <t>debt_schedule.total_cash_sweep.2</t>
        </is>
      </c>
      <c r="F73" t="inlineStr">
        <is>
          <t>money, to 0.01</t>
        </is>
      </c>
    </row>
    <row r="74">
      <c r="A74" t="inlineStr">
        <is>
          <t>Y3 Senior Term Loan closing balance</t>
        </is>
      </c>
      <c r="B74" t="inlineStr">
        <is>
          <t>bal_3</t>
        </is>
      </c>
      <c r="C74" s="4">
        <f>$C$65-$C$72-$C$73</f>
        <v/>
      </c>
      <c r="D74" s="4" t="n">
        <v>303.08125</v>
      </c>
      <c r="E74" t="inlineStr">
        <is>
          <t>tranches.Senior Term Loan.2.ending_balance</t>
        </is>
      </c>
      <c r="F74" t="inlineStr">
        <is>
          <t>money, to 0.01</t>
        </is>
      </c>
    </row>
    <row r="75">
      <c r="A75" t="inlineStr">
        <is>
          <t>Net debt at exit (debt - cash + lease liability)</t>
        </is>
      </c>
      <c r="B75" t="inlineStr">
        <is>
          <t>net_debt_exit</t>
        </is>
      </c>
      <c r="C75" s="4">
        <f>$C$74</f>
        <v/>
      </c>
      <c r="D75" s="4" t="n">
        <v>303.08125</v>
      </c>
      <c r="E75" t="inlineStr">
        <is>
          <t>returns.net_debt_at_exit</t>
        </is>
      </c>
      <c r="F75" t="inlineStr">
        <is>
          <t>money, to 0.01</t>
        </is>
      </c>
    </row>
    <row r="76">
      <c r="A76" t="inlineStr">
        <is>
          <t>Exit EV = (final-year EBITDA + lease add-back) x exit multiple</t>
        </is>
      </c>
      <c r="B76" t="inlineStr">
        <is>
          <t>exit_ev</t>
        </is>
      </c>
      <c r="C76" s="4">
        <f>($C$44+0)*$C$15</f>
        <v/>
      </c>
      <c r="D76" s="4" t="n">
        <v>800</v>
      </c>
      <c r="E76" t="inlineStr">
        <is>
          <t>returns.exit_ev</t>
        </is>
      </c>
      <c r="F76" t="inlineStr">
        <is>
          <t>money, to 0.01</t>
        </is>
      </c>
    </row>
    <row r="77">
      <c r="A77" t="inlineStr">
        <is>
          <t>Exit equity = exit EV - net debt</t>
        </is>
      </c>
      <c r="B77" t="inlineStr">
        <is>
          <t>exit_equity</t>
        </is>
      </c>
      <c r="C77" s="4">
        <f>$C$76-$C$75</f>
        <v/>
      </c>
      <c r="D77" s="4" t="n">
        <v>496.91875</v>
      </c>
      <c r="E77" t="inlineStr">
        <is>
          <t>returns.net_exit_equity</t>
        </is>
      </c>
      <c r="F77" t="inlineStr">
        <is>
          <t>money, to 0.01</t>
        </is>
      </c>
    </row>
    <row r="78">
      <c r="A78" t="inlineStr">
        <is>
          <t>MOIC = exit equity / entry equity</t>
        </is>
      </c>
      <c r="B78" t="inlineStr">
        <is>
          <t>moic</t>
        </is>
      </c>
      <c r="C78" s="5">
        <f>$C$77/$C$27</f>
        <v/>
      </c>
      <c r="D78" s="5" t="n">
        <v>1.242296875</v>
      </c>
      <c r="E78" t="inlineStr">
        <is>
          <t>returns.moic</t>
        </is>
      </c>
      <c r="F78" t="inlineStr">
        <is>
          <t>multiple, to 0.01</t>
        </is>
      </c>
    </row>
    <row r="79">
      <c r="A79" t="inlineStr">
        <is>
          <t>IRR = MOIC ^ (1 / years) - 1</t>
        </is>
      </c>
      <c r="B79" t="inlineStr">
        <is>
          <t>irr</t>
        </is>
      </c>
      <c r="C79" s="6">
        <f>$C$78^(1/$C$16)-1</f>
        <v/>
      </c>
      <c r="D79" s="6" t="n">
        <v>0.07499999999999996</v>
      </c>
      <c r="E79" t="inlineStr">
        <is>
          <t>returns.irr</t>
        </is>
      </c>
      <c r="F79" t="inlineStr">
        <is>
          <t>per cent, to 0.01</t>
        </is>
      </c>
    </row>
    <row r="81">
      <c r="A81" s="3" t="inlineStr">
        <is>
          <t>Headline answers, typed by hand</t>
        </is>
      </c>
    </row>
    <row r="82">
      <c r="A82" t="inlineStr">
        <is>
          <t>Sponsor equity = EV + costs + minimum cash - debt - lease liability</t>
        </is>
      </c>
      <c r="B82" t="inlineStr">
        <is>
          <t>equity</t>
        </is>
      </c>
      <c r="D82" s="4" t="n">
        <v>400</v>
      </c>
    </row>
    <row r="83">
      <c r="A83" t="inlineStr">
        <is>
          <t>Exit equity = exit EV - net debt</t>
        </is>
      </c>
      <c r="B83" t="inlineStr">
        <is>
          <t>exit_equity</t>
        </is>
      </c>
      <c r="D83" s="4" t="n">
        <v>496.91875</v>
      </c>
    </row>
  </sheetData>
  <mergeCells count="1">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8. Known difference: a bullet the cash can't pay (finding 11)</t>
        </is>
      </c>
    </row>
    <row r="2">
      <c r="A2" t="inlineStr">
        <is>
          <t>Covers: open finding</t>
        </is>
      </c>
    </row>
    <row r="3" ht="90" customHeight="1">
      <c r="A3" s="2" t="inlineStr">
        <is>
          <t>Senior 300 at 10% swept, mezzanine 100 at 14% repaid in one go at the exit. In year 3 the business makes 31.20 of cash against 100 due. By hand the mezzanine is still owed (or the cash goes negative, the same thing at exit), so net debt is 312.77 and exit equity 487.23. The engine resets cash to the minimum whatever happened (CLAUDE.md finding 11, open, awaiting approval), so it reports 556.03: higher by exactly the 68.80 the 'unfunded repayment' warning names. This case pins the size of the finding by hand; it changes when the finding is fixed.</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spread</t>
        </is>
      </c>
      <c r="B18" t="inlineStr">
        <is>
          <t>spread</t>
        </is>
      </c>
      <c r="C18" t="n">
        <v>0.04</v>
      </c>
    </row>
    <row r="19">
      <c r="A19" t="inlineStr">
        <is>
          <t>debt_pct</t>
        </is>
      </c>
      <c r="B19" t="inlineStr">
        <is>
          <t>debt_pct</t>
        </is>
      </c>
      <c r="C19" t="n">
        <v>0.5</v>
      </c>
    </row>
    <row r="20">
      <c r="A20" t="inlineStr">
        <is>
          <t>senior_pct</t>
        </is>
      </c>
      <c r="B20" t="inlineStr">
        <is>
          <t>senior_pct</t>
        </is>
      </c>
      <c r="C20" t="n">
        <v>0.75</v>
      </c>
    </row>
    <row r="22">
      <c r="A22" s="3" t="inlineStr">
        <is>
          <t>Working</t>
        </is>
      </c>
      <c r="B22" s="3" t="inlineStr">
        <is>
          <t>Name</t>
        </is>
      </c>
      <c r="C22" s="3" t="inlineStr">
        <is>
          <t>Formula</t>
        </is>
      </c>
      <c r="D22" s="3" t="inlineStr">
        <is>
          <t>Comes to</t>
        </is>
      </c>
      <c r="E22" s="3" t="inlineStr">
        <is>
          <t>Engine figure it must match</t>
        </is>
      </c>
      <c r="F22" s="3" t="inlineStr">
        <is>
          <t>Compared as</t>
        </is>
      </c>
    </row>
    <row r="23">
      <c r="A23" t="inlineStr">
        <is>
          <t>Operating EBITDA (what the model grows)</t>
        </is>
      </c>
      <c r="B23" t="inlineStr">
        <is>
          <t>op_ebitda</t>
        </is>
      </c>
      <c r="C23" s="4">
        <f>$C$6</f>
        <v/>
      </c>
      <c r="D23" s="4" t="n">
        <v>100</v>
      </c>
    </row>
    <row r="24">
      <c r="A24" t="inlineStr">
        <is>
          <t>Entry EV = (EBITDA + lease add-back) x entry multiple</t>
        </is>
      </c>
      <c r="B24" t="inlineStr">
        <is>
          <t>ev</t>
        </is>
      </c>
      <c r="C24" s="4">
        <f>($C$23+0)*$C$14</f>
        <v/>
      </c>
      <c r="D24" s="4" t="n">
        <v>800</v>
      </c>
    </row>
    <row r="25">
      <c r="A25" t="inlineStr">
        <is>
          <t>Debt drawn at close</t>
        </is>
      </c>
      <c r="B25" t="inlineStr">
        <is>
          <t>debt</t>
        </is>
      </c>
      <c r="C25" s="4">
        <f>$C$24*$C$19</f>
        <v/>
      </c>
      <c r="D25" s="4" t="n">
        <v>400</v>
      </c>
    </row>
    <row r="26">
      <c r="A26" t="inlineStr">
        <is>
          <t>Entry costs (fees and other uses)</t>
        </is>
      </c>
      <c r="B26" t="inlineStr">
        <is>
          <t>costs</t>
        </is>
      </c>
      <c r="C26" s="4">
        <f>0</f>
        <v/>
      </c>
      <c r="D26" s="4" t="n">
        <v>0</v>
      </c>
    </row>
    <row r="27">
      <c r="A27" t="inlineStr">
        <is>
          <t>Sponsor equity = EV + costs + minimum cash - debt - lease liability</t>
        </is>
      </c>
      <c r="B27" t="inlineStr">
        <is>
          <t>equity</t>
        </is>
      </c>
      <c r="C27" s="4">
        <f>$C$24+$C$26+0-$C$25-0</f>
        <v/>
      </c>
      <c r="D27" s="4" t="n">
        <v>400</v>
      </c>
      <c r="E27" t="inlineStr">
        <is>
          <t>returns.entry_equity</t>
        </is>
      </c>
      <c r="F27" t="inlineStr">
        <is>
          <t>money, to 0.01</t>
        </is>
      </c>
    </row>
    <row r="28">
      <c r="A28" t="inlineStr">
        <is>
          <t>Base revenue = EBITDA / (gross margin - opex + D&amp;A)</t>
        </is>
      </c>
      <c r="B28" t="inlineStr">
        <is>
          <t>rev_0</t>
        </is>
      </c>
      <c r="C28" s="4">
        <f>$C$6/($C$7-$C$8+$C$9)</f>
        <v/>
      </c>
      <c r="D28" s="4" t="n">
        <v>400</v>
      </c>
    </row>
    <row r="29">
      <c r="A29" t="inlineStr">
        <is>
          <t>Y1 revenue</t>
        </is>
      </c>
      <c r="B29" t="inlineStr">
        <is>
          <t>rev_1</t>
        </is>
      </c>
      <c r="C29" s="4">
        <f>$C$28*(1+$C$10)</f>
        <v/>
      </c>
      <c r="D29" s="4" t="n">
        <v>400</v>
      </c>
      <c r="E29" t="inlineStr">
        <is>
          <t>operating_model.revenue.0</t>
        </is>
      </c>
      <c r="F29" t="inlineStr">
        <is>
          <t>money, to 0.01</t>
        </is>
      </c>
    </row>
    <row r="30">
      <c r="A30" t="inlineStr">
        <is>
          <t>Y1 EBIT = revenue x (gross margin - opex)</t>
        </is>
      </c>
      <c r="B30" t="inlineStr">
        <is>
          <t>ebit_1</t>
        </is>
      </c>
      <c r="C30" s="4">
        <f>$C$29*($C$7-$C$8)</f>
        <v/>
      </c>
      <c r="D30" s="4" t="n">
        <v>80</v>
      </c>
      <c r="E30" t="inlineStr">
        <is>
          <t>operating_model.ebit.0</t>
        </is>
      </c>
      <c r="F30" t="inlineStr">
        <is>
          <t>money, to 0.01</t>
        </is>
      </c>
    </row>
    <row r="31">
      <c r="A31" t="inlineStr">
        <is>
          <t>Y1 D&amp;A</t>
        </is>
      </c>
      <c r="B31" t="inlineStr">
        <is>
          <t>da_1</t>
        </is>
      </c>
      <c r="C31" s="4">
        <f>$C$29*$C$9</f>
        <v/>
      </c>
      <c r="D31" s="4" t="n">
        <v>20</v>
      </c>
      <c r="E31" t="inlineStr">
        <is>
          <t>operating_model.da.0</t>
        </is>
      </c>
      <c r="F31" t="inlineStr">
        <is>
          <t>money, to 0.01</t>
        </is>
      </c>
    </row>
    <row r="32">
      <c r="A32" t="inlineStr">
        <is>
          <t>Y1 EBITDA</t>
        </is>
      </c>
      <c r="B32" t="inlineStr">
        <is>
          <t>ebitda_1</t>
        </is>
      </c>
      <c r="C32" s="4">
        <f>$C$30+$C$31</f>
        <v/>
      </c>
      <c r="D32" s="4" t="n">
        <v>100</v>
      </c>
      <c r="E32" t="inlineStr">
        <is>
          <t>operating_model.ebitda.0</t>
        </is>
      </c>
      <c r="F32" t="inlineStr">
        <is>
          <t>money, to 0.01</t>
        </is>
      </c>
    </row>
    <row r="33">
      <c r="A33" t="inlineStr">
        <is>
          <t>Y1 capex</t>
        </is>
      </c>
      <c r="B33" t="inlineStr">
        <is>
          <t>capex_1</t>
        </is>
      </c>
      <c r="C33" s="4">
        <f>$C$29*$C$11</f>
        <v/>
      </c>
      <c r="D33" s="4" t="n">
        <v>20</v>
      </c>
      <c r="E33" t="inlineStr">
        <is>
          <t>cash_flow.capex.0</t>
        </is>
      </c>
      <c r="F33" t="inlineStr">
        <is>
          <t>money, to 0.01</t>
        </is>
      </c>
    </row>
    <row r="34">
      <c r="A34" t="inlineStr">
        <is>
          <t>Y1 change in working capital</t>
        </is>
      </c>
      <c r="B34" t="inlineStr">
        <is>
          <t>dnwc_1</t>
        </is>
      </c>
      <c r="C34" s="4">
        <f>$C$29*$C$12</f>
        <v/>
      </c>
      <c r="D34" s="4" t="n">
        <v>0</v>
      </c>
      <c r="E34" t="inlineStr">
        <is>
          <t>cash_flow.delta_nwc.0</t>
        </is>
      </c>
      <c r="F34" t="inlineStr">
        <is>
          <t>money, to 0.01</t>
        </is>
      </c>
    </row>
    <row r="35">
      <c r="A35" t="inlineStr">
        <is>
          <t>Y2 revenue</t>
        </is>
      </c>
      <c r="B35" t="inlineStr">
        <is>
          <t>rev_2</t>
        </is>
      </c>
      <c r="C35" s="4">
        <f>$C$29*(1+$C$10)</f>
        <v/>
      </c>
      <c r="D35" s="4" t="n">
        <v>400</v>
      </c>
      <c r="E35" t="inlineStr">
        <is>
          <t>operating_model.revenue.1</t>
        </is>
      </c>
      <c r="F35" t="inlineStr">
        <is>
          <t>money, to 0.01</t>
        </is>
      </c>
    </row>
    <row r="36">
      <c r="A36" t="inlineStr">
        <is>
          <t>Y2 EBIT = revenue x (gross margin - opex)</t>
        </is>
      </c>
      <c r="B36" t="inlineStr">
        <is>
          <t>ebit_2</t>
        </is>
      </c>
      <c r="C36" s="4">
        <f>$C$35*($C$7-$C$8)</f>
        <v/>
      </c>
      <c r="D36" s="4" t="n">
        <v>80</v>
      </c>
      <c r="E36" t="inlineStr">
        <is>
          <t>operating_model.ebit.1</t>
        </is>
      </c>
      <c r="F36" t="inlineStr">
        <is>
          <t>money, to 0.01</t>
        </is>
      </c>
    </row>
    <row r="37">
      <c r="A37" t="inlineStr">
        <is>
          <t>Y2 D&amp;A</t>
        </is>
      </c>
      <c r="B37" t="inlineStr">
        <is>
          <t>da_2</t>
        </is>
      </c>
      <c r="C37" s="4">
        <f>$C$35*$C$9</f>
        <v/>
      </c>
      <c r="D37" s="4" t="n">
        <v>20</v>
      </c>
      <c r="E37" t="inlineStr">
        <is>
          <t>operating_model.da.1</t>
        </is>
      </c>
      <c r="F37" t="inlineStr">
        <is>
          <t>money, to 0.01</t>
        </is>
      </c>
    </row>
    <row r="38">
      <c r="A38" t="inlineStr">
        <is>
          <t>Y2 EBITDA</t>
        </is>
      </c>
      <c r="B38" t="inlineStr">
        <is>
          <t>ebitda_2</t>
        </is>
      </c>
      <c r="C38" s="4">
        <f>$C$36+$C$37</f>
        <v/>
      </c>
      <c r="D38" s="4" t="n">
        <v>100</v>
      </c>
      <c r="E38" t="inlineStr">
        <is>
          <t>operating_model.ebitda.1</t>
        </is>
      </c>
      <c r="F38" t="inlineStr">
        <is>
          <t>money, to 0.01</t>
        </is>
      </c>
    </row>
    <row r="39">
      <c r="A39" t="inlineStr">
        <is>
          <t>Y2 capex</t>
        </is>
      </c>
      <c r="B39" t="inlineStr">
        <is>
          <t>capex_2</t>
        </is>
      </c>
      <c r="C39" s="4">
        <f>$C$35*$C$11</f>
        <v/>
      </c>
      <c r="D39" s="4" t="n">
        <v>20</v>
      </c>
      <c r="E39" t="inlineStr">
        <is>
          <t>cash_flow.capex.1</t>
        </is>
      </c>
      <c r="F39" t="inlineStr">
        <is>
          <t>money, to 0.01</t>
        </is>
      </c>
    </row>
    <row r="40">
      <c r="A40" t="inlineStr">
        <is>
          <t>Y2 change in working capital</t>
        </is>
      </c>
      <c r="B40" t="inlineStr">
        <is>
          <t>dnwc_2</t>
        </is>
      </c>
      <c r="C40" s="4">
        <f>$C$35*$C$12</f>
        <v/>
      </c>
      <c r="D40" s="4" t="n">
        <v>0</v>
      </c>
      <c r="E40" t="inlineStr">
        <is>
          <t>cash_flow.delta_nwc.1</t>
        </is>
      </c>
      <c r="F40" t="inlineStr">
        <is>
          <t>money, to 0.01</t>
        </is>
      </c>
    </row>
    <row r="41">
      <c r="A41" t="inlineStr">
        <is>
          <t>Y3 revenue</t>
        </is>
      </c>
      <c r="B41" t="inlineStr">
        <is>
          <t>rev_3</t>
        </is>
      </c>
      <c r="C41" s="4">
        <f>$C$35*(1+$C$10)</f>
        <v/>
      </c>
      <c r="D41" s="4" t="n">
        <v>400</v>
      </c>
      <c r="E41" t="inlineStr">
        <is>
          <t>operating_model.revenue.2</t>
        </is>
      </c>
      <c r="F41" t="inlineStr">
        <is>
          <t>money, to 0.01</t>
        </is>
      </c>
    </row>
    <row r="42">
      <c r="A42" t="inlineStr">
        <is>
          <t>Y3 EBIT = revenue x (gross margin - opex)</t>
        </is>
      </c>
      <c r="B42" t="inlineStr">
        <is>
          <t>ebit_3</t>
        </is>
      </c>
      <c r="C42" s="4">
        <f>$C$41*($C$7-$C$8)</f>
        <v/>
      </c>
      <c r="D42" s="4" t="n">
        <v>80</v>
      </c>
      <c r="E42" t="inlineStr">
        <is>
          <t>operating_model.ebit.2</t>
        </is>
      </c>
      <c r="F42" t="inlineStr">
        <is>
          <t>money, to 0.01</t>
        </is>
      </c>
    </row>
    <row r="43">
      <c r="A43" t="inlineStr">
        <is>
          <t>Y3 D&amp;A</t>
        </is>
      </c>
      <c r="B43" t="inlineStr">
        <is>
          <t>da_3</t>
        </is>
      </c>
      <c r="C43" s="4">
        <f>$C$41*$C$9</f>
        <v/>
      </c>
      <c r="D43" s="4" t="n">
        <v>20</v>
      </c>
      <c r="E43" t="inlineStr">
        <is>
          <t>operating_model.da.2</t>
        </is>
      </c>
      <c r="F43" t="inlineStr">
        <is>
          <t>money, to 0.01</t>
        </is>
      </c>
    </row>
    <row r="44">
      <c r="A44" t="inlineStr">
        <is>
          <t>Y3 EBITDA</t>
        </is>
      </c>
      <c r="B44" t="inlineStr">
        <is>
          <t>ebitda_3</t>
        </is>
      </c>
      <c r="C44" s="4">
        <f>$C$42+$C$43</f>
        <v/>
      </c>
      <c r="D44" s="4" t="n">
        <v>100</v>
      </c>
      <c r="E44" t="inlineStr">
        <is>
          <t>operating_model.ebitda.2</t>
        </is>
      </c>
      <c r="F44" t="inlineStr">
        <is>
          <t>money, to 0.01</t>
        </is>
      </c>
    </row>
    <row r="45">
      <c r="A45" t="inlineStr">
        <is>
          <t>Y3 capex</t>
        </is>
      </c>
      <c r="B45" t="inlineStr">
        <is>
          <t>capex_3</t>
        </is>
      </c>
      <c r="C45" s="4">
        <f>$C$41*$C$11</f>
        <v/>
      </c>
      <c r="D45" s="4" t="n">
        <v>20</v>
      </c>
      <c r="E45" t="inlineStr">
        <is>
          <t>cash_flow.capex.2</t>
        </is>
      </c>
      <c r="F45" t="inlineStr">
        <is>
          <t>money, to 0.01</t>
        </is>
      </c>
    </row>
    <row r="46">
      <c r="A46" t="inlineStr">
        <is>
          <t>Y3 change in working capital</t>
        </is>
      </c>
      <c r="B46" t="inlineStr">
        <is>
          <t>dnwc_3</t>
        </is>
      </c>
      <c r="C46" s="4">
        <f>$C$41*$C$12</f>
        <v/>
      </c>
      <c r="D46" s="4" t="n">
        <v>0</v>
      </c>
      <c r="E46" t="inlineStr">
        <is>
          <t>cash_flow.delta_nwc.2</t>
        </is>
      </c>
      <c r="F46" t="inlineStr">
        <is>
          <t>money, to 0.01</t>
        </is>
      </c>
    </row>
    <row r="47">
      <c r="A47" t="inlineStr">
        <is>
          <t>Senior at close = 75% of the debt</t>
        </is>
      </c>
      <c r="B47" t="inlineStr">
        <is>
          <t>senior_0</t>
        </is>
      </c>
      <c r="C47" s="4">
        <f>$C$25*$C$20</f>
        <v/>
      </c>
      <c r="D47" s="4" t="n">
        <v>300</v>
      </c>
    </row>
    <row r="48">
      <c r="A48" t="inlineStr">
        <is>
          <t>Mezzanine = the rest, a bullet due at the exit</t>
        </is>
      </c>
      <c r="B48" t="inlineStr">
        <is>
          <t>mezz</t>
        </is>
      </c>
      <c r="C48" s="4">
        <f>$C$25-$C$47</f>
        <v/>
      </c>
      <c r="D48" s="4" t="n">
        <v>100</v>
      </c>
    </row>
    <row r="49">
      <c r="A49" t="inlineStr">
        <is>
          <t>Y1 interest expense</t>
        </is>
      </c>
      <c r="B49" t="inlineStr">
        <is>
          <t>int_1</t>
        </is>
      </c>
      <c r="C49" s="4">
        <f>$C$47*$C$17+$C$48*($C$17+$C$18)</f>
        <v/>
      </c>
      <c r="D49" s="4" t="n">
        <v>44</v>
      </c>
      <c r="E49" t="inlineStr">
        <is>
          <t>operating_model.interest_expense.0</t>
        </is>
      </c>
      <c r="F49" t="inlineStr">
        <is>
          <t>money, to 0.01</t>
        </is>
      </c>
    </row>
    <row r="50">
      <c r="A50" t="inlineStr">
        <is>
          <t>Y1 profit before tax = EBIT - interest + interest income</t>
        </is>
      </c>
      <c r="B50" t="inlineStr">
        <is>
          <t>ebt_1</t>
        </is>
      </c>
      <c r="C50" s="4">
        <f>$C$30-$C$49+0</f>
        <v/>
      </c>
      <c r="D50" s="4" t="n">
        <v>36</v>
      </c>
      <c r="E50" t="inlineStr">
        <is>
          <t>operating_model.ebt.0</t>
        </is>
      </c>
      <c r="F50" t="inlineStr">
        <is>
          <t>money, to 0.01</t>
        </is>
      </c>
    </row>
    <row r="51">
      <c r="A51" t="inlineStr">
        <is>
          <t>Y1 tax</t>
        </is>
      </c>
      <c r="B51" t="inlineStr">
        <is>
          <t>tax_1</t>
        </is>
      </c>
      <c r="C51" s="4">
        <f>MAX($C$50,0)*$C$13</f>
        <v/>
      </c>
      <c r="D51" s="4" t="n">
        <v>9</v>
      </c>
      <c r="E51" t="inlineStr">
        <is>
          <t>operating_model.taxes.0</t>
        </is>
      </c>
      <c r="F51" t="inlineStr">
        <is>
          <t>money, to 0.01</t>
        </is>
      </c>
    </row>
    <row r="52">
      <c r="A52" t="inlineStr">
        <is>
          <t>Y1 net income</t>
        </is>
      </c>
      <c r="B52" t="inlineStr">
        <is>
          <t>ni_1</t>
        </is>
      </c>
      <c r="C52" s="4">
        <f>$C$50-$C$51</f>
        <v/>
      </c>
      <c r="D52" s="4" t="n">
        <v>27</v>
      </c>
      <c r="E52" t="inlineStr">
        <is>
          <t>operating_model.net_income.0</t>
        </is>
      </c>
      <c r="F52" t="inlineStr">
        <is>
          <t>money, to 0.01</t>
        </is>
      </c>
    </row>
    <row r="53">
      <c r="A53" t="inlineStr">
        <is>
          <t>Y1 levered free cash flow (before repaying debt)</t>
        </is>
      </c>
      <c r="B53" t="inlineStr">
        <is>
          <t>fcf_1</t>
        </is>
      </c>
      <c r="C53" s="4">
        <f>$C$52+$C$31-$C$33-$C$34</f>
        <v/>
      </c>
      <c r="D53" s="4" t="n">
        <v>27</v>
      </c>
      <c r="E53" t="inlineStr">
        <is>
          <t>cash_flow.levered_fcf.0</t>
        </is>
      </c>
      <c r="F53" t="inlineStr">
        <is>
          <t>money, to 0.01</t>
        </is>
      </c>
    </row>
    <row r="54">
      <c r="A54" t="inlineStr">
        <is>
          <t>Y1 senior after the sweep</t>
        </is>
      </c>
      <c r="B54" t="inlineStr">
        <is>
          <t>senior_1</t>
        </is>
      </c>
      <c r="C54" s="4">
        <f>$C$47-$C$53</f>
        <v/>
      </c>
      <c r="D54" s="4" t="n">
        <v>273</v>
      </c>
      <c r="E54" t="inlineStr">
        <is>
          <t>tranches.Senior Term Loan.0.ending_balance</t>
        </is>
      </c>
      <c r="F54" t="inlineStr">
        <is>
          <t>money, to 0.01</t>
        </is>
      </c>
    </row>
    <row r="55">
      <c r="A55" t="inlineStr">
        <is>
          <t>Y2 interest expense</t>
        </is>
      </c>
      <c r="B55" t="inlineStr">
        <is>
          <t>int_2</t>
        </is>
      </c>
      <c r="C55" s="4">
        <f>$C$54*$C$17+$C$48*($C$17+$C$18)</f>
        <v/>
      </c>
      <c r="D55" s="4" t="n">
        <v>41.3</v>
      </c>
      <c r="E55" t="inlineStr">
        <is>
          <t>operating_model.interest_expense.1</t>
        </is>
      </c>
      <c r="F55" t="inlineStr">
        <is>
          <t>money, to 0.01</t>
        </is>
      </c>
    </row>
    <row r="56">
      <c r="A56" t="inlineStr">
        <is>
          <t>Y2 profit before tax = EBIT - interest + interest income</t>
        </is>
      </c>
      <c r="B56" t="inlineStr">
        <is>
          <t>ebt_2</t>
        </is>
      </c>
      <c r="C56" s="4">
        <f>$C$36-$C$55+0</f>
        <v/>
      </c>
      <c r="D56" s="4" t="n">
        <v>38.7</v>
      </c>
      <c r="E56" t="inlineStr">
        <is>
          <t>operating_model.ebt.1</t>
        </is>
      </c>
      <c r="F56" t="inlineStr">
        <is>
          <t>money, to 0.01</t>
        </is>
      </c>
    </row>
    <row r="57">
      <c r="A57" t="inlineStr">
        <is>
          <t>Y2 tax</t>
        </is>
      </c>
      <c r="B57" t="inlineStr">
        <is>
          <t>tax_2</t>
        </is>
      </c>
      <c r="C57" s="4">
        <f>MAX($C$56,0)*$C$13</f>
        <v/>
      </c>
      <c r="D57" s="4" t="n">
        <v>9.674999999999999</v>
      </c>
      <c r="E57" t="inlineStr">
        <is>
          <t>operating_model.taxes.1</t>
        </is>
      </c>
      <c r="F57" t="inlineStr">
        <is>
          <t>money, to 0.01</t>
        </is>
      </c>
    </row>
    <row r="58">
      <c r="A58" t="inlineStr">
        <is>
          <t>Y2 net income</t>
        </is>
      </c>
      <c r="B58" t="inlineStr">
        <is>
          <t>ni_2</t>
        </is>
      </c>
      <c r="C58" s="4">
        <f>$C$56-$C$57</f>
        <v/>
      </c>
      <c r="D58" s="4" t="n">
        <v>29.025</v>
      </c>
      <c r="E58" t="inlineStr">
        <is>
          <t>operating_model.net_income.1</t>
        </is>
      </c>
      <c r="F58" t="inlineStr">
        <is>
          <t>money, to 0.01</t>
        </is>
      </c>
    </row>
    <row r="59">
      <c r="A59" t="inlineStr">
        <is>
          <t>Y2 levered free cash flow (before repaying debt)</t>
        </is>
      </c>
      <c r="B59" t="inlineStr">
        <is>
          <t>fcf_2</t>
        </is>
      </c>
      <c r="C59" s="4">
        <f>$C$58+$C$37-$C$39-$C$40</f>
        <v/>
      </c>
      <c r="D59" s="4" t="n">
        <v>29.025</v>
      </c>
      <c r="E59" t="inlineStr">
        <is>
          <t>cash_flow.levered_fcf.1</t>
        </is>
      </c>
      <c r="F59" t="inlineStr">
        <is>
          <t>money, to 0.01</t>
        </is>
      </c>
    </row>
    <row r="60">
      <c r="A60" t="inlineStr">
        <is>
          <t>Y2 senior after the sweep</t>
        </is>
      </c>
      <c r="B60" t="inlineStr">
        <is>
          <t>senior_2</t>
        </is>
      </c>
      <c r="C60" s="4">
        <f>$C$54-$C$59</f>
        <v/>
      </c>
      <c r="D60" s="4" t="n">
        <v>243.975</v>
      </c>
      <c r="E60" t="inlineStr">
        <is>
          <t>tranches.Senior Term Loan.1.ending_balance</t>
        </is>
      </c>
      <c r="F60" t="inlineStr">
        <is>
          <t>money, to 0.01</t>
        </is>
      </c>
    </row>
    <row r="61">
      <c r="A61" t="inlineStr">
        <is>
          <t>Y3 interest expense</t>
        </is>
      </c>
      <c r="B61" t="inlineStr">
        <is>
          <t>int_3</t>
        </is>
      </c>
      <c r="C61" s="4">
        <f>$C$60*$C$17+$C$48*($C$17+$C$18)</f>
        <v/>
      </c>
      <c r="D61" s="4" t="n">
        <v>38.3975</v>
      </c>
      <c r="E61" t="inlineStr">
        <is>
          <t>operating_model.interest_expense.2</t>
        </is>
      </c>
      <c r="F61" t="inlineStr">
        <is>
          <t>money, to 0.01</t>
        </is>
      </c>
    </row>
    <row r="62">
      <c r="A62" t="inlineStr">
        <is>
          <t>Y3 profit before tax = EBIT - interest + interest income</t>
        </is>
      </c>
      <c r="B62" t="inlineStr">
        <is>
          <t>ebt_3</t>
        </is>
      </c>
      <c r="C62" s="4">
        <f>$C$42-$C$61+0</f>
        <v/>
      </c>
      <c r="D62" s="4" t="n">
        <v>41.6025</v>
      </c>
      <c r="E62" t="inlineStr">
        <is>
          <t>operating_model.ebt.2</t>
        </is>
      </c>
      <c r="F62" t="inlineStr">
        <is>
          <t>money, to 0.01</t>
        </is>
      </c>
    </row>
    <row r="63">
      <c r="A63" t="inlineStr">
        <is>
          <t>Y3 tax</t>
        </is>
      </c>
      <c r="B63" t="inlineStr">
        <is>
          <t>tax_3</t>
        </is>
      </c>
      <c r="C63" s="4">
        <f>MAX($C$62,0)*$C$13</f>
        <v/>
      </c>
      <c r="D63" s="4" t="n">
        <v>10.400625</v>
      </c>
      <c r="E63" t="inlineStr">
        <is>
          <t>operating_model.taxes.2</t>
        </is>
      </c>
      <c r="F63" t="inlineStr">
        <is>
          <t>money, to 0.01</t>
        </is>
      </c>
    </row>
    <row r="64">
      <c r="A64" t="inlineStr">
        <is>
          <t>Y3 net income</t>
        </is>
      </c>
      <c r="B64" t="inlineStr">
        <is>
          <t>ni_3</t>
        </is>
      </c>
      <c r="C64" s="4">
        <f>$C$62-$C$63</f>
        <v/>
      </c>
      <c r="D64" s="4" t="n">
        <v>31.201875</v>
      </c>
      <c r="E64" t="inlineStr">
        <is>
          <t>operating_model.net_income.2</t>
        </is>
      </c>
      <c r="F64" t="inlineStr">
        <is>
          <t>money, to 0.01</t>
        </is>
      </c>
    </row>
    <row r="65">
      <c r="A65" t="inlineStr">
        <is>
          <t>Y3 levered free cash flow (before repaying debt)</t>
        </is>
      </c>
      <c r="B65" t="inlineStr">
        <is>
          <t>fcf_3</t>
        </is>
      </c>
      <c r="C65" s="4">
        <f>$C$64+$C$43-$C$45-$C$46</f>
        <v/>
      </c>
      <c r="D65" s="4" t="n">
        <v>31.201875</v>
      </c>
      <c r="E65" t="inlineStr">
        <is>
          <t>cash_flow.levered_fcf.2</t>
        </is>
      </c>
      <c r="F65" t="inlineStr">
        <is>
          <t>money, to 0.01</t>
        </is>
      </c>
    </row>
    <row r="66">
      <c r="A66" t="inlineStr">
        <is>
          <t>Y3 mezzanine due less the cash the year made: nothing pays for this</t>
        </is>
      </c>
      <c r="B66" t="inlineStr">
        <is>
          <t>shortfall</t>
        </is>
      </c>
      <c r="C66" s="4">
        <f>$C$48-$C$65</f>
        <v/>
      </c>
      <c r="D66" s="4" t="n">
        <v>68.798125</v>
      </c>
      <c r="E66" t="inlineStr">
        <is>
          <t>risk_warnings.unfunded_repayment.unfunded_total</t>
        </is>
      </c>
      <c r="F66" t="inlineStr">
        <is>
          <t>money, to 0.01</t>
        </is>
      </c>
    </row>
    <row r="67">
      <c r="A67" t="inlineStr">
        <is>
          <t>Net debt at exit, by hand: the cash held, the mezzanine still owed</t>
        </is>
      </c>
      <c r="B67" t="inlineStr">
        <is>
          <t>hand_net_debt</t>
        </is>
      </c>
      <c r="C67" s="4">
        <f>$C$60+$C$48-$C$65</f>
        <v/>
      </c>
      <c r="D67" s="4" t="n">
        <v>312.7731250000001</v>
      </c>
    </row>
    <row r="68">
      <c r="A68" t="inlineStr">
        <is>
          <t>Exit equity, by hand</t>
        </is>
      </c>
      <c r="B68" t="inlineStr">
        <is>
          <t>hand_exit_equity</t>
        </is>
      </c>
      <c r="C68" s="4">
        <f>$C$44*$C$15-$C$67</f>
        <v/>
      </c>
      <c r="D68" s="4" t="n">
        <v>487.2268749999999</v>
      </c>
    </row>
    <row r="69">
      <c r="A69" t="inlineStr">
        <is>
          <t>What the engine reports: by hand plus the cash it conjures (finding 11)</t>
        </is>
      </c>
      <c r="B69" t="inlineStr">
        <is>
          <t>engine_exit_equity</t>
        </is>
      </c>
      <c r="C69" s="4">
        <f>$C$68+$C$66</f>
        <v/>
      </c>
      <c r="D69" s="4" t="n">
        <v>556.025</v>
      </c>
      <c r="E69" t="inlineStr">
        <is>
          <t>returns.net_exit_equity</t>
        </is>
      </c>
      <c r="F69" t="inlineStr">
        <is>
          <t>money, to 0.01</t>
        </is>
      </c>
    </row>
    <row r="71">
      <c r="A71" s="3" t="inlineStr">
        <is>
          <t>Headline answers, typed by hand</t>
        </is>
      </c>
    </row>
    <row r="72">
      <c r="A72" t="inlineStr">
        <is>
          <t>Sponsor equity = EV + costs + minimum cash - debt - lease liability</t>
        </is>
      </c>
      <c r="B72" t="inlineStr">
        <is>
          <t>equity</t>
        </is>
      </c>
      <c r="D72" s="4" t="n">
        <v>400</v>
      </c>
    </row>
    <row r="73">
      <c r="A73" t="inlineStr">
        <is>
          <t>Exit equity, by hand</t>
        </is>
      </c>
      <c r="B73" t="inlineStr">
        <is>
          <t>hand_exit_equity</t>
        </is>
      </c>
      <c r="D73" s="4" t="n">
        <v>487.226875</v>
      </c>
    </row>
  </sheetData>
  <mergeCells count="1">
    <mergeCell ref="A3: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9. Floating SONIA loan with a floor (sterling)</t>
        </is>
      </c>
    </row>
    <row r="2">
      <c r="A2" t="inlineStr">
        <is>
          <t>Covers: floating with floor, non-USD</t>
        </is>
      </c>
    </row>
    <row r="3" ht="90" customHeight="1">
      <c r="A3" s="2" t="inlineStr">
        <is>
          <t>A sterling loan of 400 at SONIA + 4% with a 1% floor on SONIA, SONIA at 0.5%, 1% and 3% over the three years. The floor applies to the reference before the margin: 5%, 5% and 7%, so interest 20, 20, 28. Not swept, due after the exit; cash 45, 90, 129.</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sonia_1</t>
        </is>
      </c>
      <c r="B17" t="inlineStr">
        <is>
          <t>sonia_1</t>
        </is>
      </c>
      <c r="C17" t="n">
        <v>0.005</v>
      </c>
    </row>
    <row r="18">
      <c r="A18" t="inlineStr">
        <is>
          <t>sonia_2</t>
        </is>
      </c>
      <c r="B18" t="inlineStr">
        <is>
          <t>sonia_2</t>
        </is>
      </c>
      <c r="C18" t="n">
        <v>0.01</v>
      </c>
    </row>
    <row r="19">
      <c r="A19" t="inlineStr">
        <is>
          <t>sonia_3</t>
        </is>
      </c>
      <c r="B19" t="inlineStr">
        <is>
          <t>sonia_3</t>
        </is>
      </c>
      <c r="C19" t="n">
        <v>0.03</v>
      </c>
    </row>
    <row r="20">
      <c r="A20" t="inlineStr">
        <is>
          <t>floor</t>
        </is>
      </c>
      <c r="B20" t="inlineStr">
        <is>
          <t>floor</t>
        </is>
      </c>
      <c r="C20" t="n">
        <v>0.01</v>
      </c>
    </row>
    <row r="21">
      <c r="A21" t="inlineStr">
        <is>
          <t>margin</t>
        </is>
      </c>
      <c r="B21" t="inlineStr">
        <is>
          <t>margin</t>
        </is>
      </c>
      <c r="C21" t="n">
        <v>0.04</v>
      </c>
    </row>
    <row r="23">
      <c r="A23" s="3" t="inlineStr">
        <is>
          <t>Working</t>
        </is>
      </c>
      <c r="B23" s="3" t="inlineStr">
        <is>
          <t>Name</t>
        </is>
      </c>
      <c r="C23" s="3" t="inlineStr">
        <is>
          <t>Formula</t>
        </is>
      </c>
      <c r="D23" s="3" t="inlineStr">
        <is>
          <t>Comes to</t>
        </is>
      </c>
      <c r="E23" s="3" t="inlineStr">
        <is>
          <t>Engine figure it must match</t>
        </is>
      </c>
      <c r="F23" s="3" t="inlineStr">
        <is>
          <t>Compared as</t>
        </is>
      </c>
    </row>
    <row r="24">
      <c r="A24" t="inlineStr">
        <is>
          <t>Operating EBITDA (what the model grows)</t>
        </is>
      </c>
      <c r="B24" t="inlineStr">
        <is>
          <t>op_ebitda</t>
        </is>
      </c>
      <c r="C24" s="4">
        <f>$C$6</f>
        <v/>
      </c>
      <c r="D24" s="4" t="n">
        <v>100</v>
      </c>
    </row>
    <row r="25">
      <c r="A25" t="inlineStr">
        <is>
          <t>Entry EV = (EBITDA + lease add-back) x entry multiple</t>
        </is>
      </c>
      <c r="B25" t="inlineStr">
        <is>
          <t>ev</t>
        </is>
      </c>
      <c r="C25" s="4">
        <f>($C$24+0)*$C$14</f>
        <v/>
      </c>
      <c r="D25" s="4" t="n">
        <v>800</v>
      </c>
    </row>
    <row r="26">
      <c r="A26" t="inlineStr">
        <is>
          <t>Debt drawn at close</t>
        </is>
      </c>
      <c r="B26" t="inlineStr">
        <is>
          <t>debt</t>
        </is>
      </c>
      <c r="C26" s="4">
        <f>400</f>
        <v/>
      </c>
      <c r="D26" s="4" t="n">
        <v>400</v>
      </c>
    </row>
    <row r="27">
      <c r="A27" t="inlineStr">
        <is>
          <t>Entry costs (fees and other uses)</t>
        </is>
      </c>
      <c r="B27" t="inlineStr">
        <is>
          <t>costs</t>
        </is>
      </c>
      <c r="C27" s="4">
        <f>0</f>
        <v/>
      </c>
      <c r="D27" s="4" t="n">
        <v>0</v>
      </c>
    </row>
    <row r="28">
      <c r="A28" t="inlineStr">
        <is>
          <t>Sponsor equity = EV + costs + minimum cash - debt - lease liability</t>
        </is>
      </c>
      <c r="B28" t="inlineStr">
        <is>
          <t>equity</t>
        </is>
      </c>
      <c r="C28" s="4">
        <f>$C$25+$C$27+0-$C$26-0</f>
        <v/>
      </c>
      <c r="D28" s="4" t="n">
        <v>400</v>
      </c>
      <c r="E28" t="inlineStr">
        <is>
          <t>returns.entry_equity</t>
        </is>
      </c>
      <c r="F28" t="inlineStr">
        <is>
          <t>money, to 0.01</t>
        </is>
      </c>
    </row>
    <row r="29">
      <c r="A29" t="inlineStr">
        <is>
          <t>Base revenue = EBITDA / (gross margin - opex + D&amp;A)</t>
        </is>
      </c>
      <c r="B29" t="inlineStr">
        <is>
          <t>rev_0</t>
        </is>
      </c>
      <c r="C29" s="4">
        <f>$C$6/($C$7-$C$8+$C$9)</f>
        <v/>
      </c>
      <c r="D29" s="4" t="n">
        <v>400</v>
      </c>
    </row>
    <row r="30">
      <c r="A30" t="inlineStr">
        <is>
          <t>Y1 revenue</t>
        </is>
      </c>
      <c r="B30" t="inlineStr">
        <is>
          <t>rev_1</t>
        </is>
      </c>
      <c r="C30" s="4">
        <f>$C$29*(1+$C$10)</f>
        <v/>
      </c>
      <c r="D30" s="4" t="n">
        <v>400</v>
      </c>
      <c r="E30" t="inlineStr">
        <is>
          <t>operating_model.revenue.0</t>
        </is>
      </c>
      <c r="F30" t="inlineStr">
        <is>
          <t>money, to 0.01</t>
        </is>
      </c>
    </row>
    <row r="31">
      <c r="A31" t="inlineStr">
        <is>
          <t>Y1 EBIT = revenue x (gross margin - opex)</t>
        </is>
      </c>
      <c r="B31" t="inlineStr">
        <is>
          <t>ebit_1</t>
        </is>
      </c>
      <c r="C31" s="4">
        <f>$C$30*($C$7-$C$8)</f>
        <v/>
      </c>
      <c r="D31" s="4" t="n">
        <v>80</v>
      </c>
      <c r="E31" t="inlineStr">
        <is>
          <t>operating_model.ebit.0</t>
        </is>
      </c>
      <c r="F31" t="inlineStr">
        <is>
          <t>money, to 0.01</t>
        </is>
      </c>
    </row>
    <row r="32">
      <c r="A32" t="inlineStr">
        <is>
          <t>Y1 D&amp;A</t>
        </is>
      </c>
      <c r="B32" t="inlineStr">
        <is>
          <t>da_1</t>
        </is>
      </c>
      <c r="C32" s="4">
        <f>$C$30*$C$9</f>
        <v/>
      </c>
      <c r="D32" s="4" t="n">
        <v>20</v>
      </c>
      <c r="E32" t="inlineStr">
        <is>
          <t>operating_model.da.0</t>
        </is>
      </c>
      <c r="F32" t="inlineStr">
        <is>
          <t>money, to 0.01</t>
        </is>
      </c>
    </row>
    <row r="33">
      <c r="A33" t="inlineStr">
        <is>
          <t>Y1 EBITDA</t>
        </is>
      </c>
      <c r="B33" t="inlineStr">
        <is>
          <t>ebitda_1</t>
        </is>
      </c>
      <c r="C33" s="4">
        <f>$C$31+$C$32</f>
        <v/>
      </c>
      <c r="D33" s="4" t="n">
        <v>100</v>
      </c>
      <c r="E33" t="inlineStr">
        <is>
          <t>operating_model.ebitda.0</t>
        </is>
      </c>
      <c r="F33" t="inlineStr">
        <is>
          <t>money, to 0.01</t>
        </is>
      </c>
    </row>
    <row r="34">
      <c r="A34" t="inlineStr">
        <is>
          <t>Y1 capex</t>
        </is>
      </c>
      <c r="B34" t="inlineStr">
        <is>
          <t>capex_1</t>
        </is>
      </c>
      <c r="C34" s="4">
        <f>$C$30*$C$11</f>
        <v/>
      </c>
      <c r="D34" s="4" t="n">
        <v>20</v>
      </c>
      <c r="E34" t="inlineStr">
        <is>
          <t>cash_flow.capex.0</t>
        </is>
      </c>
      <c r="F34" t="inlineStr">
        <is>
          <t>money, to 0.01</t>
        </is>
      </c>
    </row>
    <row r="35">
      <c r="A35" t="inlineStr">
        <is>
          <t>Y1 change in working capital</t>
        </is>
      </c>
      <c r="B35" t="inlineStr">
        <is>
          <t>dnwc_1</t>
        </is>
      </c>
      <c r="C35" s="4">
        <f>$C$30*$C$12</f>
        <v/>
      </c>
      <c r="D35" s="4" t="n">
        <v>0</v>
      </c>
      <c r="E35" t="inlineStr">
        <is>
          <t>cash_flow.delta_nwc.0</t>
        </is>
      </c>
      <c r="F35" t="inlineStr">
        <is>
          <t>money, to 0.01</t>
        </is>
      </c>
    </row>
    <row r="36">
      <c r="A36" t="inlineStr">
        <is>
          <t>Y2 revenue</t>
        </is>
      </c>
      <c r="B36" t="inlineStr">
        <is>
          <t>rev_2</t>
        </is>
      </c>
      <c r="C36" s="4">
        <f>$C$30*(1+$C$10)</f>
        <v/>
      </c>
      <c r="D36" s="4" t="n">
        <v>400</v>
      </c>
      <c r="E36" t="inlineStr">
        <is>
          <t>operating_model.revenue.1</t>
        </is>
      </c>
      <c r="F36" t="inlineStr">
        <is>
          <t>money, to 0.01</t>
        </is>
      </c>
    </row>
    <row r="37">
      <c r="A37" t="inlineStr">
        <is>
          <t>Y2 EBIT = revenue x (gross margin - opex)</t>
        </is>
      </c>
      <c r="B37" t="inlineStr">
        <is>
          <t>ebit_2</t>
        </is>
      </c>
      <c r="C37" s="4">
        <f>$C$36*($C$7-$C$8)</f>
        <v/>
      </c>
      <c r="D37" s="4" t="n">
        <v>80</v>
      </c>
      <c r="E37" t="inlineStr">
        <is>
          <t>operating_model.ebit.1</t>
        </is>
      </c>
      <c r="F37" t="inlineStr">
        <is>
          <t>money, to 0.01</t>
        </is>
      </c>
    </row>
    <row r="38">
      <c r="A38" t="inlineStr">
        <is>
          <t>Y2 D&amp;A</t>
        </is>
      </c>
      <c r="B38" t="inlineStr">
        <is>
          <t>da_2</t>
        </is>
      </c>
      <c r="C38" s="4">
        <f>$C$36*$C$9</f>
        <v/>
      </c>
      <c r="D38" s="4" t="n">
        <v>20</v>
      </c>
      <c r="E38" t="inlineStr">
        <is>
          <t>operating_model.da.1</t>
        </is>
      </c>
      <c r="F38" t="inlineStr">
        <is>
          <t>money, to 0.01</t>
        </is>
      </c>
    </row>
    <row r="39">
      <c r="A39" t="inlineStr">
        <is>
          <t>Y2 EBITDA</t>
        </is>
      </c>
      <c r="B39" t="inlineStr">
        <is>
          <t>ebitda_2</t>
        </is>
      </c>
      <c r="C39" s="4">
        <f>$C$37+$C$38</f>
        <v/>
      </c>
      <c r="D39" s="4" t="n">
        <v>100</v>
      </c>
      <c r="E39" t="inlineStr">
        <is>
          <t>operating_model.ebitda.1</t>
        </is>
      </c>
      <c r="F39" t="inlineStr">
        <is>
          <t>money, to 0.01</t>
        </is>
      </c>
    </row>
    <row r="40">
      <c r="A40" t="inlineStr">
        <is>
          <t>Y2 capex</t>
        </is>
      </c>
      <c r="B40" t="inlineStr">
        <is>
          <t>capex_2</t>
        </is>
      </c>
      <c r="C40" s="4">
        <f>$C$36*$C$11</f>
        <v/>
      </c>
      <c r="D40" s="4" t="n">
        <v>20</v>
      </c>
      <c r="E40" t="inlineStr">
        <is>
          <t>cash_flow.capex.1</t>
        </is>
      </c>
      <c r="F40" t="inlineStr">
        <is>
          <t>money, to 0.01</t>
        </is>
      </c>
    </row>
    <row r="41">
      <c r="A41" t="inlineStr">
        <is>
          <t>Y2 change in working capital</t>
        </is>
      </c>
      <c r="B41" t="inlineStr">
        <is>
          <t>dnwc_2</t>
        </is>
      </c>
      <c r="C41" s="4">
        <f>$C$36*$C$12</f>
        <v/>
      </c>
      <c r="D41" s="4" t="n">
        <v>0</v>
      </c>
      <c r="E41" t="inlineStr">
        <is>
          <t>cash_flow.delta_nwc.1</t>
        </is>
      </c>
      <c r="F41" t="inlineStr">
        <is>
          <t>money, to 0.01</t>
        </is>
      </c>
    </row>
    <row r="42">
      <c r="A42" t="inlineStr">
        <is>
          <t>Y3 revenue</t>
        </is>
      </c>
      <c r="B42" t="inlineStr">
        <is>
          <t>rev_3</t>
        </is>
      </c>
      <c r="C42" s="4">
        <f>$C$36*(1+$C$10)</f>
        <v/>
      </c>
      <c r="D42" s="4" t="n">
        <v>400</v>
      </c>
      <c r="E42" t="inlineStr">
        <is>
          <t>operating_model.revenue.2</t>
        </is>
      </c>
      <c r="F42" t="inlineStr">
        <is>
          <t>money, to 0.01</t>
        </is>
      </c>
    </row>
    <row r="43">
      <c r="A43" t="inlineStr">
        <is>
          <t>Y3 EBIT = revenue x (gross margin - opex)</t>
        </is>
      </c>
      <c r="B43" t="inlineStr">
        <is>
          <t>ebit_3</t>
        </is>
      </c>
      <c r="C43" s="4">
        <f>$C$42*($C$7-$C$8)</f>
        <v/>
      </c>
      <c r="D43" s="4" t="n">
        <v>80</v>
      </c>
      <c r="E43" t="inlineStr">
        <is>
          <t>operating_model.ebit.2</t>
        </is>
      </c>
      <c r="F43" t="inlineStr">
        <is>
          <t>money, to 0.01</t>
        </is>
      </c>
    </row>
    <row r="44">
      <c r="A44" t="inlineStr">
        <is>
          <t>Y3 D&amp;A</t>
        </is>
      </c>
      <c r="B44" t="inlineStr">
        <is>
          <t>da_3</t>
        </is>
      </c>
      <c r="C44" s="4">
        <f>$C$42*$C$9</f>
        <v/>
      </c>
      <c r="D44" s="4" t="n">
        <v>20</v>
      </c>
      <c r="E44" t="inlineStr">
        <is>
          <t>operating_model.da.2</t>
        </is>
      </c>
      <c r="F44" t="inlineStr">
        <is>
          <t>money, to 0.01</t>
        </is>
      </c>
    </row>
    <row r="45">
      <c r="A45" t="inlineStr">
        <is>
          <t>Y3 EBITDA</t>
        </is>
      </c>
      <c r="B45" t="inlineStr">
        <is>
          <t>ebitda_3</t>
        </is>
      </c>
      <c r="C45" s="4">
        <f>$C$43+$C$44</f>
        <v/>
      </c>
      <c r="D45" s="4" t="n">
        <v>100</v>
      </c>
      <c r="E45" t="inlineStr">
        <is>
          <t>operating_model.ebitda.2</t>
        </is>
      </c>
      <c r="F45" t="inlineStr">
        <is>
          <t>money, to 0.01</t>
        </is>
      </c>
    </row>
    <row r="46">
      <c r="A46" t="inlineStr">
        <is>
          <t>Y3 capex</t>
        </is>
      </c>
      <c r="B46" t="inlineStr">
        <is>
          <t>capex_3</t>
        </is>
      </c>
      <c r="C46" s="4">
        <f>$C$42*$C$11</f>
        <v/>
      </c>
      <c r="D46" s="4" t="n">
        <v>20</v>
      </c>
      <c r="E46" t="inlineStr">
        <is>
          <t>cash_flow.capex.2</t>
        </is>
      </c>
      <c r="F46" t="inlineStr">
        <is>
          <t>money, to 0.01</t>
        </is>
      </c>
    </row>
    <row r="47">
      <c r="A47" t="inlineStr">
        <is>
          <t>Y3 change in working capital</t>
        </is>
      </c>
      <c r="B47" t="inlineStr">
        <is>
          <t>dnwc_3</t>
        </is>
      </c>
      <c r="C47" s="4">
        <f>$C$42*$C$12</f>
        <v/>
      </c>
      <c r="D47" s="4" t="n">
        <v>0</v>
      </c>
      <c r="E47" t="inlineStr">
        <is>
          <t>cash_flow.delta_nwc.2</t>
        </is>
      </c>
      <c r="F47" t="inlineStr">
        <is>
          <t>money, to 0.01</t>
        </is>
      </c>
    </row>
    <row r="48">
      <c r="A48" t="inlineStr">
        <is>
          <t>Y1 rate = max(SONIA, floor) + margin</t>
        </is>
      </c>
      <c r="B48" t="inlineStr">
        <is>
          <t>rate_1</t>
        </is>
      </c>
      <c r="C48" s="6">
        <f>MAX($C$17,$C$20)+$C$21</f>
        <v/>
      </c>
      <c r="D48" s="6" t="n">
        <v>0.05</v>
      </c>
      <c r="E48" t="inlineStr">
        <is>
          <t>tranches.Term loan.0.interest_rate</t>
        </is>
      </c>
      <c r="F48" t="inlineStr">
        <is>
          <t>per cent, to 0.01</t>
        </is>
      </c>
    </row>
    <row r="49">
      <c r="A49" t="inlineStr">
        <is>
          <t>Y2 rate = max(SONIA, floor) + margin</t>
        </is>
      </c>
      <c r="B49" t="inlineStr">
        <is>
          <t>rate_2</t>
        </is>
      </c>
      <c r="C49" s="6">
        <f>MAX($C$18,$C$20)+$C$21</f>
        <v/>
      </c>
      <c r="D49" s="6" t="n">
        <v>0.05</v>
      </c>
      <c r="E49" t="inlineStr">
        <is>
          <t>tranches.Term loan.1.interest_rate</t>
        </is>
      </c>
      <c r="F49" t="inlineStr">
        <is>
          <t>per cent, to 0.01</t>
        </is>
      </c>
    </row>
    <row r="50">
      <c r="A50" t="inlineStr">
        <is>
          <t>Y3 rate = max(SONIA, floor) + margin</t>
        </is>
      </c>
      <c r="B50" t="inlineStr">
        <is>
          <t>rate_3</t>
        </is>
      </c>
      <c r="C50" s="6">
        <f>MAX($C$19,$C$20)+$C$21</f>
        <v/>
      </c>
      <c r="D50" s="6" t="n">
        <v>0.07000000000000001</v>
      </c>
      <c r="E50" t="inlineStr">
        <is>
          <t>tranches.Term loan.2.interest_rate</t>
        </is>
      </c>
      <c r="F50" t="inlineStr">
        <is>
          <t>per cent, to 0.01</t>
        </is>
      </c>
    </row>
    <row r="51">
      <c r="A51" t="inlineStr">
        <is>
          <t>Y1 interest expense</t>
        </is>
      </c>
      <c r="B51" t="inlineStr">
        <is>
          <t>int_1</t>
        </is>
      </c>
      <c r="C51" s="4">
        <f>$C$26*$C$48</f>
        <v/>
      </c>
      <c r="D51" s="4" t="n">
        <v>20</v>
      </c>
      <c r="E51" t="inlineStr">
        <is>
          <t>operating_model.interest_expense.0</t>
        </is>
      </c>
      <c r="F51" t="inlineStr">
        <is>
          <t>money, to 0.01</t>
        </is>
      </c>
    </row>
    <row r="52">
      <c r="A52" t="inlineStr">
        <is>
          <t>Y1 profit before tax = EBIT - interest + interest income</t>
        </is>
      </c>
      <c r="B52" t="inlineStr">
        <is>
          <t>ebt_1</t>
        </is>
      </c>
      <c r="C52" s="4">
        <f>$C$31-$C$51+0</f>
        <v/>
      </c>
      <c r="D52" s="4" t="n">
        <v>60</v>
      </c>
      <c r="E52" t="inlineStr">
        <is>
          <t>operating_model.ebt.0</t>
        </is>
      </c>
      <c r="F52" t="inlineStr">
        <is>
          <t>money, to 0.01</t>
        </is>
      </c>
    </row>
    <row r="53">
      <c r="A53" t="inlineStr">
        <is>
          <t>Y1 tax</t>
        </is>
      </c>
      <c r="B53" t="inlineStr">
        <is>
          <t>tax_1</t>
        </is>
      </c>
      <c r="C53" s="4">
        <f>MAX($C$52,0)*$C$13</f>
        <v/>
      </c>
      <c r="D53" s="4" t="n">
        <v>15</v>
      </c>
      <c r="E53" t="inlineStr">
        <is>
          <t>operating_model.taxes.0</t>
        </is>
      </c>
      <c r="F53" t="inlineStr">
        <is>
          <t>money, to 0.01</t>
        </is>
      </c>
    </row>
    <row r="54">
      <c r="A54" t="inlineStr">
        <is>
          <t>Y1 net income</t>
        </is>
      </c>
      <c r="B54" t="inlineStr">
        <is>
          <t>ni_1</t>
        </is>
      </c>
      <c r="C54" s="4">
        <f>$C$52-$C$53</f>
        <v/>
      </c>
      <c r="D54" s="4" t="n">
        <v>45</v>
      </c>
      <c r="E54" t="inlineStr">
        <is>
          <t>operating_model.net_income.0</t>
        </is>
      </c>
      <c r="F54" t="inlineStr">
        <is>
          <t>money, to 0.01</t>
        </is>
      </c>
    </row>
    <row r="55">
      <c r="A55" t="inlineStr">
        <is>
          <t>Y1 levered free cash flow (before repaying debt)</t>
        </is>
      </c>
      <c r="B55" t="inlineStr">
        <is>
          <t>fcf_1</t>
        </is>
      </c>
      <c r="C55" s="4">
        <f>$C$54+$C$32-$C$34-$C$35</f>
        <v/>
      </c>
      <c r="D55" s="4" t="n">
        <v>45</v>
      </c>
      <c r="E55" t="inlineStr">
        <is>
          <t>cash_flow.levered_fcf.0</t>
        </is>
      </c>
      <c r="F55" t="inlineStr">
        <is>
          <t>money, to 0.01</t>
        </is>
      </c>
    </row>
    <row r="56">
      <c r="A56" t="inlineStr">
        <is>
          <t>Y1 closing cash</t>
        </is>
      </c>
      <c r="B56" t="inlineStr">
        <is>
          <t>cash_1</t>
        </is>
      </c>
      <c r="C56" s="4">
        <f>0+$C$55</f>
        <v/>
      </c>
      <c r="D56" s="4" t="n">
        <v>45</v>
      </c>
    </row>
    <row r="57">
      <c r="A57" t="inlineStr">
        <is>
          <t>Y2 interest expense</t>
        </is>
      </c>
      <c r="B57" t="inlineStr">
        <is>
          <t>int_2</t>
        </is>
      </c>
      <c r="C57" s="4">
        <f>$C$26*$C$49</f>
        <v/>
      </c>
      <c r="D57" s="4" t="n">
        <v>20</v>
      </c>
      <c r="E57" t="inlineStr">
        <is>
          <t>operating_model.interest_expense.1</t>
        </is>
      </c>
      <c r="F57" t="inlineStr">
        <is>
          <t>money, to 0.01</t>
        </is>
      </c>
    </row>
    <row r="58">
      <c r="A58" t="inlineStr">
        <is>
          <t>Y2 profit before tax = EBIT - interest + interest income</t>
        </is>
      </c>
      <c r="B58" t="inlineStr">
        <is>
          <t>ebt_2</t>
        </is>
      </c>
      <c r="C58" s="4">
        <f>$C$37-$C$57+0</f>
        <v/>
      </c>
      <c r="D58" s="4" t="n">
        <v>60</v>
      </c>
      <c r="E58" t="inlineStr">
        <is>
          <t>operating_model.ebt.1</t>
        </is>
      </c>
      <c r="F58" t="inlineStr">
        <is>
          <t>money, to 0.01</t>
        </is>
      </c>
    </row>
    <row r="59">
      <c r="A59" t="inlineStr">
        <is>
          <t>Y2 tax</t>
        </is>
      </c>
      <c r="B59" t="inlineStr">
        <is>
          <t>tax_2</t>
        </is>
      </c>
      <c r="C59" s="4">
        <f>MAX($C$58,0)*$C$13</f>
        <v/>
      </c>
      <c r="D59" s="4" t="n">
        <v>15</v>
      </c>
      <c r="E59" t="inlineStr">
        <is>
          <t>operating_model.taxes.1</t>
        </is>
      </c>
      <c r="F59" t="inlineStr">
        <is>
          <t>money, to 0.01</t>
        </is>
      </c>
    </row>
    <row r="60">
      <c r="A60" t="inlineStr">
        <is>
          <t>Y2 net income</t>
        </is>
      </c>
      <c r="B60" t="inlineStr">
        <is>
          <t>ni_2</t>
        </is>
      </c>
      <c r="C60" s="4">
        <f>$C$58-$C$59</f>
        <v/>
      </c>
      <c r="D60" s="4" t="n">
        <v>45</v>
      </c>
      <c r="E60" t="inlineStr">
        <is>
          <t>operating_model.net_income.1</t>
        </is>
      </c>
      <c r="F60" t="inlineStr">
        <is>
          <t>money, to 0.01</t>
        </is>
      </c>
    </row>
    <row r="61">
      <c r="A61" t="inlineStr">
        <is>
          <t>Y2 levered free cash flow (before repaying debt)</t>
        </is>
      </c>
      <c r="B61" t="inlineStr">
        <is>
          <t>fcf_2</t>
        </is>
      </c>
      <c r="C61" s="4">
        <f>$C$60+$C$38-$C$40-$C$41</f>
        <v/>
      </c>
      <c r="D61" s="4" t="n">
        <v>45</v>
      </c>
      <c r="E61" t="inlineStr">
        <is>
          <t>cash_flow.levered_fcf.1</t>
        </is>
      </c>
      <c r="F61" t="inlineStr">
        <is>
          <t>money, to 0.01</t>
        </is>
      </c>
    </row>
    <row r="62">
      <c r="A62" t="inlineStr">
        <is>
          <t>Y2 closing cash</t>
        </is>
      </c>
      <c r="B62" t="inlineStr">
        <is>
          <t>cash_2</t>
        </is>
      </c>
      <c r="C62" s="4">
        <f>$C$56+$C$61</f>
        <v/>
      </c>
      <c r="D62" s="4" t="n">
        <v>90</v>
      </c>
    </row>
    <row r="63">
      <c r="A63" t="inlineStr">
        <is>
          <t>Y3 interest expense</t>
        </is>
      </c>
      <c r="B63" t="inlineStr">
        <is>
          <t>int_3</t>
        </is>
      </c>
      <c r="C63" s="4">
        <f>$C$26*$C$50</f>
        <v/>
      </c>
      <c r="D63" s="4" t="n">
        <v>28</v>
      </c>
      <c r="E63" t="inlineStr">
        <is>
          <t>operating_model.interest_expense.2</t>
        </is>
      </c>
      <c r="F63" t="inlineStr">
        <is>
          <t>money, to 0.01</t>
        </is>
      </c>
    </row>
    <row r="64">
      <c r="A64" t="inlineStr">
        <is>
          <t>Y3 profit before tax = EBIT - interest + interest income</t>
        </is>
      </c>
      <c r="B64" t="inlineStr">
        <is>
          <t>ebt_3</t>
        </is>
      </c>
      <c r="C64" s="4">
        <f>$C$43-$C$63+0</f>
        <v/>
      </c>
      <c r="D64" s="4" t="n">
        <v>52</v>
      </c>
      <c r="E64" t="inlineStr">
        <is>
          <t>operating_model.ebt.2</t>
        </is>
      </c>
      <c r="F64" t="inlineStr">
        <is>
          <t>money, to 0.01</t>
        </is>
      </c>
    </row>
    <row r="65">
      <c r="A65" t="inlineStr">
        <is>
          <t>Y3 tax</t>
        </is>
      </c>
      <c r="B65" t="inlineStr">
        <is>
          <t>tax_3</t>
        </is>
      </c>
      <c r="C65" s="4">
        <f>MAX($C$64,0)*$C$13</f>
        <v/>
      </c>
      <c r="D65" s="4" t="n">
        <v>13</v>
      </c>
      <c r="E65" t="inlineStr">
        <is>
          <t>operating_model.taxes.2</t>
        </is>
      </c>
      <c r="F65" t="inlineStr">
        <is>
          <t>money, to 0.01</t>
        </is>
      </c>
    </row>
    <row r="66">
      <c r="A66" t="inlineStr">
        <is>
          <t>Y3 net income</t>
        </is>
      </c>
      <c r="B66" t="inlineStr">
        <is>
          <t>ni_3</t>
        </is>
      </c>
      <c r="C66" s="4">
        <f>$C$64-$C$65</f>
        <v/>
      </c>
      <c r="D66" s="4" t="n">
        <v>39</v>
      </c>
      <c r="E66" t="inlineStr">
        <is>
          <t>operating_model.net_income.2</t>
        </is>
      </c>
      <c r="F66" t="inlineStr">
        <is>
          <t>money, to 0.01</t>
        </is>
      </c>
    </row>
    <row r="67">
      <c r="A67" t="inlineStr">
        <is>
          <t>Y3 levered free cash flow (before repaying debt)</t>
        </is>
      </c>
      <c r="B67" t="inlineStr">
        <is>
          <t>fcf_3</t>
        </is>
      </c>
      <c r="C67" s="4">
        <f>$C$66+$C$44-$C$46-$C$47</f>
        <v/>
      </c>
      <c r="D67" s="4" t="n">
        <v>39</v>
      </c>
      <c r="E67" t="inlineStr">
        <is>
          <t>cash_flow.levered_fcf.2</t>
        </is>
      </c>
      <c r="F67" t="inlineStr">
        <is>
          <t>money, to 0.01</t>
        </is>
      </c>
    </row>
    <row r="68">
      <c r="A68" t="inlineStr">
        <is>
          <t>Y3 closing cash</t>
        </is>
      </c>
      <c r="B68" t="inlineStr">
        <is>
          <t>cash_3</t>
        </is>
      </c>
      <c r="C68" s="4">
        <f>$C$62+$C$67</f>
        <v/>
      </c>
      <c r="D68" s="4" t="n">
        <v>129</v>
      </c>
    </row>
    <row r="69">
      <c r="A69" t="inlineStr">
        <is>
          <t>Net debt at exit (debt - cash + lease liability)</t>
        </is>
      </c>
      <c r="B69" t="inlineStr">
        <is>
          <t>net_debt_exit</t>
        </is>
      </c>
      <c r="C69" s="4">
        <f>$C$26-$C$68</f>
        <v/>
      </c>
      <c r="D69" s="4" t="n">
        <v>271</v>
      </c>
      <c r="E69" t="inlineStr">
        <is>
          <t>returns.net_debt_at_exit</t>
        </is>
      </c>
      <c r="F69" t="inlineStr">
        <is>
          <t>money, to 0.01</t>
        </is>
      </c>
    </row>
    <row r="70">
      <c r="A70" t="inlineStr">
        <is>
          <t>Exit EV = (final-year EBITDA + lease add-back) x exit multiple</t>
        </is>
      </c>
      <c r="B70" t="inlineStr">
        <is>
          <t>exit_ev</t>
        </is>
      </c>
      <c r="C70" s="4">
        <f>($C$45+0)*$C$15</f>
        <v/>
      </c>
      <c r="D70" s="4" t="n">
        <v>800</v>
      </c>
      <c r="E70" t="inlineStr">
        <is>
          <t>returns.exit_ev</t>
        </is>
      </c>
      <c r="F70" t="inlineStr">
        <is>
          <t>money, to 0.01</t>
        </is>
      </c>
    </row>
    <row r="71">
      <c r="A71" t="inlineStr">
        <is>
          <t>Exit equity = exit EV - net debt</t>
        </is>
      </c>
      <c r="B71" t="inlineStr">
        <is>
          <t>exit_equity</t>
        </is>
      </c>
      <c r="C71" s="4">
        <f>$C$70-$C$69</f>
        <v/>
      </c>
      <c r="D71" s="4" t="n">
        <v>529</v>
      </c>
      <c r="E71" t="inlineStr">
        <is>
          <t>returns.net_exit_equity</t>
        </is>
      </c>
      <c r="F71" t="inlineStr">
        <is>
          <t>money, to 0.01</t>
        </is>
      </c>
    </row>
    <row r="72">
      <c r="A72" t="inlineStr">
        <is>
          <t>MOIC = exit equity / entry equity</t>
        </is>
      </c>
      <c r="B72" t="inlineStr">
        <is>
          <t>moic</t>
        </is>
      </c>
      <c r="C72" s="5">
        <f>$C$71/$C$28</f>
        <v/>
      </c>
      <c r="D72" s="5" t="n">
        <v>1.3225</v>
      </c>
      <c r="E72" t="inlineStr">
        <is>
          <t>returns.moic</t>
        </is>
      </c>
      <c r="F72" t="inlineStr">
        <is>
          <t>multiple, to 0.01</t>
        </is>
      </c>
    </row>
    <row r="73">
      <c r="A73" t="inlineStr">
        <is>
          <t>IRR = MOIC ^ (1 / years) - 1</t>
        </is>
      </c>
      <c r="B73" t="inlineStr">
        <is>
          <t>irr</t>
        </is>
      </c>
      <c r="C73" s="6">
        <f>$C$72^(1/$C$16)-1</f>
        <v/>
      </c>
      <c r="D73" s="6" t="n">
        <v>0.09765339982500598</v>
      </c>
      <c r="E73" t="inlineStr">
        <is>
          <t>returns.irr</t>
        </is>
      </c>
      <c r="F73" t="inlineStr">
        <is>
          <t>per cent, to 0.01</t>
        </is>
      </c>
    </row>
    <row r="75">
      <c r="A75" s="3" t="inlineStr">
        <is>
          <t>Headline answers, typed by hand</t>
        </is>
      </c>
    </row>
    <row r="76">
      <c r="A76" t="inlineStr">
        <is>
          <t>Sponsor equity = EV + costs + minimum cash - debt - lease liability</t>
        </is>
      </c>
      <c r="B76" t="inlineStr">
        <is>
          <t>equity</t>
        </is>
      </c>
      <c r="D76" s="4" t="n">
        <v>400</v>
      </c>
    </row>
    <row r="77">
      <c r="A77" t="inlineStr">
        <is>
          <t>Exit equity = exit EV - net debt</t>
        </is>
      </c>
      <c r="B77" t="inlineStr">
        <is>
          <t>exit_equity</t>
        </is>
      </c>
      <c r="D77" s="4" t="n">
        <v>529</v>
      </c>
    </row>
  </sheetData>
  <mergeCells count="1">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10. PIK note</t>
        </is>
      </c>
    </row>
    <row r="2">
      <c r="A2" t="inlineStr">
        <is>
          <t>Covers: PIK</t>
        </is>
      </c>
    </row>
    <row r="3" ht="90" customHeight="1">
      <c r="A3" s="2" t="inlineStr">
        <is>
          <t>400 of notes at 10%, the whole coupon paid in kind. It is still an expense (40, 44, 48.4), so it lowers tax, but no cash leaves: free cash flow adds it back, 70, 71, 72.1. The notes compound to 532.4 while 213.1 of cash builds up beside them.</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9">
      <c r="A19" s="3" t="inlineStr">
        <is>
          <t>Working</t>
        </is>
      </c>
      <c r="B19" s="3" t="inlineStr">
        <is>
          <t>Name</t>
        </is>
      </c>
      <c r="C19" s="3" t="inlineStr">
        <is>
          <t>Formula</t>
        </is>
      </c>
      <c r="D19" s="3" t="inlineStr">
        <is>
          <t>Comes to</t>
        </is>
      </c>
      <c r="E19" s="3" t="inlineStr">
        <is>
          <t>Engine figure it must match</t>
        </is>
      </c>
      <c r="F19" s="3" t="inlineStr">
        <is>
          <t>Compared as</t>
        </is>
      </c>
    </row>
    <row r="20">
      <c r="A20" t="inlineStr">
        <is>
          <t>Operating EBITDA (what the model grows)</t>
        </is>
      </c>
      <c r="B20" t="inlineStr">
        <is>
          <t>op_ebitda</t>
        </is>
      </c>
      <c r="C20" s="4">
        <f>$C$6</f>
        <v/>
      </c>
      <c r="D20" s="4" t="n">
        <v>100</v>
      </c>
    </row>
    <row r="21">
      <c r="A21" t="inlineStr">
        <is>
          <t>Entry EV = (EBITDA + lease add-back) x entry multiple</t>
        </is>
      </c>
      <c r="B21" t="inlineStr">
        <is>
          <t>ev</t>
        </is>
      </c>
      <c r="C21" s="4">
        <f>($C$20+0)*$C$14</f>
        <v/>
      </c>
      <c r="D21" s="4" t="n">
        <v>800</v>
      </c>
    </row>
    <row r="22">
      <c r="A22" t="inlineStr">
        <is>
          <t>Debt drawn at close</t>
        </is>
      </c>
      <c r="B22" t="inlineStr">
        <is>
          <t>debt</t>
        </is>
      </c>
      <c r="C22" s="4">
        <f>400</f>
        <v/>
      </c>
      <c r="D22" s="4" t="n">
        <v>400</v>
      </c>
    </row>
    <row r="23">
      <c r="A23" t="inlineStr">
        <is>
          <t>Entry costs (fees and other uses)</t>
        </is>
      </c>
      <c r="B23" t="inlineStr">
        <is>
          <t>costs</t>
        </is>
      </c>
      <c r="C23" s="4">
        <f>0</f>
        <v/>
      </c>
      <c r="D23" s="4" t="n">
        <v>0</v>
      </c>
    </row>
    <row r="24">
      <c r="A24" t="inlineStr">
        <is>
          <t>Sponsor equity = EV + costs + minimum cash - debt - lease liability</t>
        </is>
      </c>
      <c r="B24" t="inlineStr">
        <is>
          <t>equity</t>
        </is>
      </c>
      <c r="C24" s="4">
        <f>$C$21+$C$23+0-$C$22-0</f>
        <v/>
      </c>
      <c r="D24" s="4" t="n">
        <v>400</v>
      </c>
      <c r="E24" t="inlineStr">
        <is>
          <t>returns.entry_equity</t>
        </is>
      </c>
      <c r="F24" t="inlineStr">
        <is>
          <t>money, to 0.01</t>
        </is>
      </c>
    </row>
    <row r="25">
      <c r="A25" t="inlineStr">
        <is>
          <t>Base revenue = EBITDA / (gross margin - opex + D&amp;A)</t>
        </is>
      </c>
      <c r="B25" t="inlineStr">
        <is>
          <t>rev_0</t>
        </is>
      </c>
      <c r="C25" s="4">
        <f>$C$6/($C$7-$C$8+$C$9)</f>
        <v/>
      </c>
      <c r="D25" s="4" t="n">
        <v>400</v>
      </c>
    </row>
    <row r="26">
      <c r="A26" t="inlineStr">
        <is>
          <t>Y1 revenue</t>
        </is>
      </c>
      <c r="B26" t="inlineStr">
        <is>
          <t>rev_1</t>
        </is>
      </c>
      <c r="C26" s="4">
        <f>$C$25*(1+$C$10)</f>
        <v/>
      </c>
      <c r="D26" s="4" t="n">
        <v>400</v>
      </c>
      <c r="E26" t="inlineStr">
        <is>
          <t>operating_model.revenue.0</t>
        </is>
      </c>
      <c r="F26" t="inlineStr">
        <is>
          <t>money, to 0.01</t>
        </is>
      </c>
    </row>
    <row r="27">
      <c r="A27" t="inlineStr">
        <is>
          <t>Y1 EBIT = revenue x (gross margin - opex)</t>
        </is>
      </c>
      <c r="B27" t="inlineStr">
        <is>
          <t>ebit_1</t>
        </is>
      </c>
      <c r="C27" s="4">
        <f>$C$26*($C$7-$C$8)</f>
        <v/>
      </c>
      <c r="D27" s="4" t="n">
        <v>80</v>
      </c>
      <c r="E27" t="inlineStr">
        <is>
          <t>operating_model.ebit.0</t>
        </is>
      </c>
      <c r="F27" t="inlineStr">
        <is>
          <t>money, to 0.01</t>
        </is>
      </c>
    </row>
    <row r="28">
      <c r="A28" t="inlineStr">
        <is>
          <t>Y1 D&amp;A</t>
        </is>
      </c>
      <c r="B28" t="inlineStr">
        <is>
          <t>da_1</t>
        </is>
      </c>
      <c r="C28" s="4">
        <f>$C$26*$C$9</f>
        <v/>
      </c>
      <c r="D28" s="4" t="n">
        <v>20</v>
      </c>
      <c r="E28" t="inlineStr">
        <is>
          <t>operating_model.da.0</t>
        </is>
      </c>
      <c r="F28" t="inlineStr">
        <is>
          <t>money, to 0.01</t>
        </is>
      </c>
    </row>
    <row r="29">
      <c r="A29" t="inlineStr">
        <is>
          <t>Y1 EBITDA</t>
        </is>
      </c>
      <c r="B29" t="inlineStr">
        <is>
          <t>ebitda_1</t>
        </is>
      </c>
      <c r="C29" s="4">
        <f>$C$27+$C$28</f>
        <v/>
      </c>
      <c r="D29" s="4" t="n">
        <v>100</v>
      </c>
      <c r="E29" t="inlineStr">
        <is>
          <t>operating_model.ebitda.0</t>
        </is>
      </c>
      <c r="F29" t="inlineStr">
        <is>
          <t>money, to 0.01</t>
        </is>
      </c>
    </row>
    <row r="30">
      <c r="A30" t="inlineStr">
        <is>
          <t>Y1 capex</t>
        </is>
      </c>
      <c r="B30" t="inlineStr">
        <is>
          <t>capex_1</t>
        </is>
      </c>
      <c r="C30" s="4">
        <f>$C$26*$C$11</f>
        <v/>
      </c>
      <c r="D30" s="4" t="n">
        <v>20</v>
      </c>
      <c r="E30" t="inlineStr">
        <is>
          <t>cash_flow.capex.0</t>
        </is>
      </c>
      <c r="F30" t="inlineStr">
        <is>
          <t>money, to 0.01</t>
        </is>
      </c>
    </row>
    <row r="31">
      <c r="A31" t="inlineStr">
        <is>
          <t>Y1 change in working capital</t>
        </is>
      </c>
      <c r="B31" t="inlineStr">
        <is>
          <t>dnwc_1</t>
        </is>
      </c>
      <c r="C31" s="4">
        <f>$C$26*$C$12</f>
        <v/>
      </c>
      <c r="D31" s="4" t="n">
        <v>0</v>
      </c>
      <c r="E31" t="inlineStr">
        <is>
          <t>cash_flow.delta_nwc.0</t>
        </is>
      </c>
      <c r="F31" t="inlineStr">
        <is>
          <t>money, to 0.01</t>
        </is>
      </c>
    </row>
    <row r="32">
      <c r="A32" t="inlineStr">
        <is>
          <t>Y2 revenue</t>
        </is>
      </c>
      <c r="B32" t="inlineStr">
        <is>
          <t>rev_2</t>
        </is>
      </c>
      <c r="C32" s="4">
        <f>$C$26*(1+$C$10)</f>
        <v/>
      </c>
      <c r="D32" s="4" t="n">
        <v>400</v>
      </c>
      <c r="E32" t="inlineStr">
        <is>
          <t>operating_model.revenue.1</t>
        </is>
      </c>
      <c r="F32" t="inlineStr">
        <is>
          <t>money, to 0.01</t>
        </is>
      </c>
    </row>
    <row r="33">
      <c r="A33" t="inlineStr">
        <is>
          <t>Y2 EBIT = revenue x (gross margin - opex)</t>
        </is>
      </c>
      <c r="B33" t="inlineStr">
        <is>
          <t>ebit_2</t>
        </is>
      </c>
      <c r="C33" s="4">
        <f>$C$32*($C$7-$C$8)</f>
        <v/>
      </c>
      <c r="D33" s="4" t="n">
        <v>80</v>
      </c>
      <c r="E33" t="inlineStr">
        <is>
          <t>operating_model.ebit.1</t>
        </is>
      </c>
      <c r="F33" t="inlineStr">
        <is>
          <t>money, to 0.01</t>
        </is>
      </c>
    </row>
    <row r="34">
      <c r="A34" t="inlineStr">
        <is>
          <t>Y2 D&amp;A</t>
        </is>
      </c>
      <c r="B34" t="inlineStr">
        <is>
          <t>da_2</t>
        </is>
      </c>
      <c r="C34" s="4">
        <f>$C$32*$C$9</f>
        <v/>
      </c>
      <c r="D34" s="4" t="n">
        <v>20</v>
      </c>
      <c r="E34" t="inlineStr">
        <is>
          <t>operating_model.da.1</t>
        </is>
      </c>
      <c r="F34" t="inlineStr">
        <is>
          <t>money, to 0.01</t>
        </is>
      </c>
    </row>
    <row r="35">
      <c r="A35" t="inlineStr">
        <is>
          <t>Y2 EBITDA</t>
        </is>
      </c>
      <c r="B35" t="inlineStr">
        <is>
          <t>ebitda_2</t>
        </is>
      </c>
      <c r="C35" s="4">
        <f>$C$33+$C$34</f>
        <v/>
      </c>
      <c r="D35" s="4" t="n">
        <v>100</v>
      </c>
      <c r="E35" t="inlineStr">
        <is>
          <t>operating_model.ebitda.1</t>
        </is>
      </c>
      <c r="F35" t="inlineStr">
        <is>
          <t>money, to 0.01</t>
        </is>
      </c>
    </row>
    <row r="36">
      <c r="A36" t="inlineStr">
        <is>
          <t>Y2 capex</t>
        </is>
      </c>
      <c r="B36" t="inlineStr">
        <is>
          <t>capex_2</t>
        </is>
      </c>
      <c r="C36" s="4">
        <f>$C$32*$C$11</f>
        <v/>
      </c>
      <c r="D36" s="4" t="n">
        <v>20</v>
      </c>
      <c r="E36" t="inlineStr">
        <is>
          <t>cash_flow.capex.1</t>
        </is>
      </c>
      <c r="F36" t="inlineStr">
        <is>
          <t>money, to 0.01</t>
        </is>
      </c>
    </row>
    <row r="37">
      <c r="A37" t="inlineStr">
        <is>
          <t>Y2 change in working capital</t>
        </is>
      </c>
      <c r="B37" t="inlineStr">
        <is>
          <t>dnwc_2</t>
        </is>
      </c>
      <c r="C37" s="4">
        <f>$C$32*$C$12</f>
        <v/>
      </c>
      <c r="D37" s="4" t="n">
        <v>0</v>
      </c>
      <c r="E37" t="inlineStr">
        <is>
          <t>cash_flow.delta_nwc.1</t>
        </is>
      </c>
      <c r="F37" t="inlineStr">
        <is>
          <t>money, to 0.01</t>
        </is>
      </c>
    </row>
    <row r="38">
      <c r="A38" t="inlineStr">
        <is>
          <t>Y3 revenue</t>
        </is>
      </c>
      <c r="B38" t="inlineStr">
        <is>
          <t>rev_3</t>
        </is>
      </c>
      <c r="C38" s="4">
        <f>$C$32*(1+$C$10)</f>
        <v/>
      </c>
      <c r="D38" s="4" t="n">
        <v>400</v>
      </c>
      <c r="E38" t="inlineStr">
        <is>
          <t>operating_model.revenue.2</t>
        </is>
      </c>
      <c r="F38" t="inlineStr">
        <is>
          <t>money, to 0.01</t>
        </is>
      </c>
    </row>
    <row r="39">
      <c r="A39" t="inlineStr">
        <is>
          <t>Y3 EBIT = revenue x (gross margin - opex)</t>
        </is>
      </c>
      <c r="B39" t="inlineStr">
        <is>
          <t>ebit_3</t>
        </is>
      </c>
      <c r="C39" s="4">
        <f>$C$38*($C$7-$C$8)</f>
        <v/>
      </c>
      <c r="D39" s="4" t="n">
        <v>80</v>
      </c>
      <c r="E39" t="inlineStr">
        <is>
          <t>operating_model.ebit.2</t>
        </is>
      </c>
      <c r="F39" t="inlineStr">
        <is>
          <t>money, to 0.01</t>
        </is>
      </c>
    </row>
    <row r="40">
      <c r="A40" t="inlineStr">
        <is>
          <t>Y3 D&amp;A</t>
        </is>
      </c>
      <c r="B40" t="inlineStr">
        <is>
          <t>da_3</t>
        </is>
      </c>
      <c r="C40" s="4">
        <f>$C$38*$C$9</f>
        <v/>
      </c>
      <c r="D40" s="4" t="n">
        <v>20</v>
      </c>
      <c r="E40" t="inlineStr">
        <is>
          <t>operating_model.da.2</t>
        </is>
      </c>
      <c r="F40" t="inlineStr">
        <is>
          <t>money, to 0.01</t>
        </is>
      </c>
    </row>
    <row r="41">
      <c r="A41" t="inlineStr">
        <is>
          <t>Y3 EBITDA</t>
        </is>
      </c>
      <c r="B41" t="inlineStr">
        <is>
          <t>ebitda_3</t>
        </is>
      </c>
      <c r="C41" s="4">
        <f>$C$39+$C$40</f>
        <v/>
      </c>
      <c r="D41" s="4" t="n">
        <v>100</v>
      </c>
      <c r="E41" t="inlineStr">
        <is>
          <t>operating_model.ebitda.2</t>
        </is>
      </c>
      <c r="F41" t="inlineStr">
        <is>
          <t>money, to 0.01</t>
        </is>
      </c>
    </row>
    <row r="42">
      <c r="A42" t="inlineStr">
        <is>
          <t>Y3 capex</t>
        </is>
      </c>
      <c r="B42" t="inlineStr">
        <is>
          <t>capex_3</t>
        </is>
      </c>
      <c r="C42" s="4">
        <f>$C$38*$C$11</f>
        <v/>
      </c>
      <c r="D42" s="4" t="n">
        <v>20</v>
      </c>
      <c r="E42" t="inlineStr">
        <is>
          <t>cash_flow.capex.2</t>
        </is>
      </c>
      <c r="F42" t="inlineStr">
        <is>
          <t>money, to 0.01</t>
        </is>
      </c>
    </row>
    <row r="43">
      <c r="A43" t="inlineStr">
        <is>
          <t>Y3 change in working capital</t>
        </is>
      </c>
      <c r="B43" t="inlineStr">
        <is>
          <t>dnwc_3</t>
        </is>
      </c>
      <c r="C43" s="4">
        <f>$C$38*$C$12</f>
        <v/>
      </c>
      <c r="D43" s="4" t="n">
        <v>0</v>
      </c>
      <c r="E43" t="inlineStr">
        <is>
          <t>cash_flow.delta_nwc.2</t>
        </is>
      </c>
      <c r="F43" t="inlineStr">
        <is>
          <t>money, to 0.01</t>
        </is>
      </c>
    </row>
    <row r="44">
      <c r="A44" t="inlineStr">
        <is>
          <t>PIK notes at close</t>
        </is>
      </c>
      <c r="B44" t="inlineStr">
        <is>
          <t>bal_0</t>
        </is>
      </c>
      <c r="C44" s="4">
        <f>$C$22</f>
        <v/>
      </c>
      <c r="D44" s="4" t="n">
        <v>400</v>
      </c>
    </row>
    <row r="45">
      <c r="A45" t="inlineStr">
        <is>
          <t>Y1 coupon, all of it added to the principal</t>
        </is>
      </c>
      <c r="B45" t="inlineStr">
        <is>
          <t>pik_1</t>
        </is>
      </c>
      <c r="C45" s="4">
        <f>$C$44*$C$17</f>
        <v/>
      </c>
      <c r="D45" s="4" t="n">
        <v>40</v>
      </c>
      <c r="E45" t="inlineStr">
        <is>
          <t>tranches.PIK notes.0.pik_interest</t>
        </is>
      </c>
      <c r="F45" t="inlineStr">
        <is>
          <t>money, to 0.01</t>
        </is>
      </c>
    </row>
    <row r="46">
      <c r="A46" t="inlineStr">
        <is>
          <t>Y1 interest expense</t>
        </is>
      </c>
      <c r="B46" t="inlineStr">
        <is>
          <t>int_1</t>
        </is>
      </c>
      <c r="C46" s="4">
        <f>$C$45</f>
        <v/>
      </c>
      <c r="D46" s="4" t="n">
        <v>40</v>
      </c>
      <c r="E46" t="inlineStr">
        <is>
          <t>operating_model.interest_expense.0</t>
        </is>
      </c>
      <c r="F46" t="inlineStr">
        <is>
          <t>money, to 0.01</t>
        </is>
      </c>
    </row>
    <row r="47">
      <c r="A47" t="inlineStr">
        <is>
          <t>Y1 profit before tax = EBIT - interest + interest income</t>
        </is>
      </c>
      <c r="B47" t="inlineStr">
        <is>
          <t>ebt_1</t>
        </is>
      </c>
      <c r="C47" s="4">
        <f>$C$27-$C$46+0</f>
        <v/>
      </c>
      <c r="D47" s="4" t="n">
        <v>40</v>
      </c>
      <c r="E47" t="inlineStr">
        <is>
          <t>operating_model.ebt.0</t>
        </is>
      </c>
      <c r="F47" t="inlineStr">
        <is>
          <t>money, to 0.01</t>
        </is>
      </c>
    </row>
    <row r="48">
      <c r="A48" t="inlineStr">
        <is>
          <t>Y1 tax</t>
        </is>
      </c>
      <c r="B48" t="inlineStr">
        <is>
          <t>tax_1</t>
        </is>
      </c>
      <c r="C48" s="4">
        <f>MAX($C$47,0)*$C$13</f>
        <v/>
      </c>
      <c r="D48" s="4" t="n">
        <v>10</v>
      </c>
      <c r="E48" t="inlineStr">
        <is>
          <t>operating_model.taxes.0</t>
        </is>
      </c>
      <c r="F48" t="inlineStr">
        <is>
          <t>money, to 0.01</t>
        </is>
      </c>
    </row>
    <row r="49">
      <c r="A49" t="inlineStr">
        <is>
          <t>Y1 net income</t>
        </is>
      </c>
      <c r="B49" t="inlineStr">
        <is>
          <t>ni_1</t>
        </is>
      </c>
      <c r="C49" s="4">
        <f>$C$47-$C$48</f>
        <v/>
      </c>
      <c r="D49" s="4" t="n">
        <v>30</v>
      </c>
      <c r="E49" t="inlineStr">
        <is>
          <t>operating_model.net_income.0</t>
        </is>
      </c>
      <c r="F49" t="inlineStr">
        <is>
          <t>money, to 0.01</t>
        </is>
      </c>
    </row>
    <row r="50">
      <c r="A50" t="inlineStr">
        <is>
          <t>Y1 levered free cash flow (before repaying debt)</t>
        </is>
      </c>
      <c r="B50" t="inlineStr">
        <is>
          <t>fcf_1</t>
        </is>
      </c>
      <c r="C50" s="4">
        <f>$C$49+$C$28-$C$30-$C$31+$C$45</f>
        <v/>
      </c>
      <c r="D50" s="4" t="n">
        <v>70</v>
      </c>
      <c r="E50" t="inlineStr">
        <is>
          <t>cash_flow.levered_fcf.0</t>
        </is>
      </c>
      <c r="F50" t="inlineStr">
        <is>
          <t>money, to 0.01</t>
        </is>
      </c>
    </row>
    <row r="51">
      <c r="A51" t="inlineStr">
        <is>
          <t>Y1 PIK notes closing balance</t>
        </is>
      </c>
      <c r="B51" t="inlineStr">
        <is>
          <t>bal_1</t>
        </is>
      </c>
      <c r="C51" s="4">
        <f>$C$44+$C$45</f>
        <v/>
      </c>
      <c r="D51" s="4" t="n">
        <v>440</v>
      </c>
      <c r="E51" t="inlineStr">
        <is>
          <t>tranches.PIK notes.0.ending_balance</t>
        </is>
      </c>
      <c r="F51" t="inlineStr">
        <is>
          <t>money, to 0.01</t>
        </is>
      </c>
    </row>
    <row r="52">
      <c r="A52" t="inlineStr">
        <is>
          <t>Y1 closing cash</t>
        </is>
      </c>
      <c r="B52" t="inlineStr">
        <is>
          <t>cash_1</t>
        </is>
      </c>
      <c r="C52" s="4">
        <f>0+$C$50</f>
        <v/>
      </c>
      <c r="D52" s="4" t="n">
        <v>70</v>
      </c>
      <c r="E52" t="inlineStr">
        <is>
          <t>debt_schedule.cash_balance.0</t>
        </is>
      </c>
      <c r="F52" t="inlineStr">
        <is>
          <t>money, to 0.01</t>
        </is>
      </c>
    </row>
    <row r="53">
      <c r="A53" t="inlineStr">
        <is>
          <t>Y2 coupon, all of it added to the principal</t>
        </is>
      </c>
      <c r="B53" t="inlineStr">
        <is>
          <t>pik_2</t>
        </is>
      </c>
      <c r="C53" s="4">
        <f>$C$51*$C$17</f>
        <v/>
      </c>
      <c r="D53" s="4" t="n">
        <v>44</v>
      </c>
      <c r="E53" t="inlineStr">
        <is>
          <t>tranches.PIK notes.1.pik_interest</t>
        </is>
      </c>
      <c r="F53" t="inlineStr">
        <is>
          <t>money, to 0.01</t>
        </is>
      </c>
    </row>
    <row r="54">
      <c r="A54" t="inlineStr">
        <is>
          <t>Y2 interest expense</t>
        </is>
      </c>
      <c r="B54" t="inlineStr">
        <is>
          <t>int_2</t>
        </is>
      </c>
      <c r="C54" s="4">
        <f>$C$53</f>
        <v/>
      </c>
      <c r="D54" s="4" t="n">
        <v>44</v>
      </c>
      <c r="E54" t="inlineStr">
        <is>
          <t>operating_model.interest_expense.1</t>
        </is>
      </c>
      <c r="F54" t="inlineStr">
        <is>
          <t>money, to 0.01</t>
        </is>
      </c>
    </row>
    <row r="55">
      <c r="A55" t="inlineStr">
        <is>
          <t>Y2 profit before tax = EBIT - interest + interest income</t>
        </is>
      </c>
      <c r="B55" t="inlineStr">
        <is>
          <t>ebt_2</t>
        </is>
      </c>
      <c r="C55" s="4">
        <f>$C$33-$C$54+0</f>
        <v/>
      </c>
      <c r="D55" s="4" t="n">
        <v>36</v>
      </c>
      <c r="E55" t="inlineStr">
        <is>
          <t>operating_model.ebt.1</t>
        </is>
      </c>
      <c r="F55" t="inlineStr">
        <is>
          <t>money, to 0.01</t>
        </is>
      </c>
    </row>
    <row r="56">
      <c r="A56" t="inlineStr">
        <is>
          <t>Y2 tax</t>
        </is>
      </c>
      <c r="B56" t="inlineStr">
        <is>
          <t>tax_2</t>
        </is>
      </c>
      <c r="C56" s="4">
        <f>MAX($C$55,0)*$C$13</f>
        <v/>
      </c>
      <c r="D56" s="4" t="n">
        <v>9</v>
      </c>
      <c r="E56" t="inlineStr">
        <is>
          <t>operating_model.taxes.1</t>
        </is>
      </c>
      <c r="F56" t="inlineStr">
        <is>
          <t>money, to 0.01</t>
        </is>
      </c>
    </row>
    <row r="57">
      <c r="A57" t="inlineStr">
        <is>
          <t>Y2 net income</t>
        </is>
      </c>
      <c r="B57" t="inlineStr">
        <is>
          <t>ni_2</t>
        </is>
      </c>
      <c r="C57" s="4">
        <f>$C$55-$C$56</f>
        <v/>
      </c>
      <c r="D57" s="4" t="n">
        <v>27</v>
      </c>
      <c r="E57" t="inlineStr">
        <is>
          <t>operating_model.net_income.1</t>
        </is>
      </c>
      <c r="F57" t="inlineStr">
        <is>
          <t>money, to 0.01</t>
        </is>
      </c>
    </row>
    <row r="58">
      <c r="A58" t="inlineStr">
        <is>
          <t>Y2 levered free cash flow (before repaying debt)</t>
        </is>
      </c>
      <c r="B58" t="inlineStr">
        <is>
          <t>fcf_2</t>
        </is>
      </c>
      <c r="C58" s="4">
        <f>$C$57+$C$34-$C$36-$C$37+$C$53</f>
        <v/>
      </c>
      <c r="D58" s="4" t="n">
        <v>71</v>
      </c>
      <c r="E58" t="inlineStr">
        <is>
          <t>cash_flow.levered_fcf.1</t>
        </is>
      </c>
      <c r="F58" t="inlineStr">
        <is>
          <t>money, to 0.01</t>
        </is>
      </c>
    </row>
    <row r="59">
      <c r="A59" t="inlineStr">
        <is>
          <t>Y2 PIK notes closing balance</t>
        </is>
      </c>
      <c r="B59" t="inlineStr">
        <is>
          <t>bal_2</t>
        </is>
      </c>
      <c r="C59" s="4">
        <f>$C$51+$C$53</f>
        <v/>
      </c>
      <c r="D59" s="4" t="n">
        <v>484</v>
      </c>
      <c r="E59" t="inlineStr">
        <is>
          <t>tranches.PIK notes.1.ending_balance</t>
        </is>
      </c>
      <c r="F59" t="inlineStr">
        <is>
          <t>money, to 0.01</t>
        </is>
      </c>
    </row>
    <row r="60">
      <c r="A60" t="inlineStr">
        <is>
          <t>Y2 closing cash</t>
        </is>
      </c>
      <c r="B60" t="inlineStr">
        <is>
          <t>cash_2</t>
        </is>
      </c>
      <c r="C60" s="4">
        <f>$C$52+$C$58</f>
        <v/>
      </c>
      <c r="D60" s="4" t="n">
        <v>141</v>
      </c>
      <c r="E60" t="inlineStr">
        <is>
          <t>debt_schedule.cash_balance.1</t>
        </is>
      </c>
      <c r="F60" t="inlineStr">
        <is>
          <t>money, to 0.01</t>
        </is>
      </c>
    </row>
    <row r="61">
      <c r="A61" t="inlineStr">
        <is>
          <t>Y3 coupon, all of it added to the principal</t>
        </is>
      </c>
      <c r="B61" t="inlineStr">
        <is>
          <t>pik_3</t>
        </is>
      </c>
      <c r="C61" s="4">
        <f>$C$59*$C$17</f>
        <v/>
      </c>
      <c r="D61" s="4" t="n">
        <v>48.40000000000001</v>
      </c>
      <c r="E61" t="inlineStr">
        <is>
          <t>tranches.PIK notes.2.pik_interest</t>
        </is>
      </c>
      <c r="F61" t="inlineStr">
        <is>
          <t>money, to 0.01</t>
        </is>
      </c>
    </row>
    <row r="62">
      <c r="A62" t="inlineStr">
        <is>
          <t>Y3 interest expense</t>
        </is>
      </c>
      <c r="B62" t="inlineStr">
        <is>
          <t>int_3</t>
        </is>
      </c>
      <c r="C62" s="4">
        <f>$C$61</f>
        <v/>
      </c>
      <c r="D62" s="4" t="n">
        <v>48.40000000000001</v>
      </c>
      <c r="E62" t="inlineStr">
        <is>
          <t>operating_model.interest_expense.2</t>
        </is>
      </c>
      <c r="F62" t="inlineStr">
        <is>
          <t>money, to 0.01</t>
        </is>
      </c>
    </row>
    <row r="63">
      <c r="A63" t="inlineStr">
        <is>
          <t>Y3 profit before tax = EBIT - interest + interest income</t>
        </is>
      </c>
      <c r="B63" t="inlineStr">
        <is>
          <t>ebt_3</t>
        </is>
      </c>
      <c r="C63" s="4">
        <f>$C$39-$C$62+0</f>
        <v/>
      </c>
      <c r="D63" s="4" t="n">
        <v>31.59999999999999</v>
      </c>
      <c r="E63" t="inlineStr">
        <is>
          <t>operating_model.ebt.2</t>
        </is>
      </c>
      <c r="F63" t="inlineStr">
        <is>
          <t>money, to 0.01</t>
        </is>
      </c>
    </row>
    <row r="64">
      <c r="A64" t="inlineStr">
        <is>
          <t>Y3 tax</t>
        </is>
      </c>
      <c r="B64" t="inlineStr">
        <is>
          <t>tax_3</t>
        </is>
      </c>
      <c r="C64" s="4">
        <f>MAX($C$63,0)*$C$13</f>
        <v/>
      </c>
      <c r="D64" s="4" t="n">
        <v>7.899999999999999</v>
      </c>
      <c r="E64" t="inlineStr">
        <is>
          <t>operating_model.taxes.2</t>
        </is>
      </c>
      <c r="F64" t="inlineStr">
        <is>
          <t>money, to 0.01</t>
        </is>
      </c>
    </row>
    <row r="65">
      <c r="A65" t="inlineStr">
        <is>
          <t>Y3 net income</t>
        </is>
      </c>
      <c r="B65" t="inlineStr">
        <is>
          <t>ni_3</t>
        </is>
      </c>
      <c r="C65" s="4">
        <f>$C$63-$C$64</f>
        <v/>
      </c>
      <c r="D65" s="4" t="n">
        <v>23.7</v>
      </c>
      <c r="E65" t="inlineStr">
        <is>
          <t>operating_model.net_income.2</t>
        </is>
      </c>
      <c r="F65" t="inlineStr">
        <is>
          <t>money, to 0.01</t>
        </is>
      </c>
    </row>
    <row r="66">
      <c r="A66" t="inlineStr">
        <is>
          <t>Y3 levered free cash flow (before repaying debt)</t>
        </is>
      </c>
      <c r="B66" t="inlineStr">
        <is>
          <t>fcf_3</t>
        </is>
      </c>
      <c r="C66" s="4">
        <f>$C$65+$C$40-$C$42-$C$43+$C$61</f>
        <v/>
      </c>
      <c r="D66" s="4" t="n">
        <v>72.09999999999999</v>
      </c>
      <c r="E66" t="inlineStr">
        <is>
          <t>cash_flow.levered_fcf.2</t>
        </is>
      </c>
      <c r="F66" t="inlineStr">
        <is>
          <t>money, to 0.01</t>
        </is>
      </c>
    </row>
    <row r="67">
      <c r="A67" t="inlineStr">
        <is>
          <t>Y3 PIK notes closing balance</t>
        </is>
      </c>
      <c r="B67" t="inlineStr">
        <is>
          <t>bal_3</t>
        </is>
      </c>
      <c r="C67" s="4">
        <f>$C$59+$C$61</f>
        <v/>
      </c>
      <c r="D67" s="4" t="n">
        <v>532.4</v>
      </c>
      <c r="E67" t="inlineStr">
        <is>
          <t>tranches.PIK notes.2.ending_balance</t>
        </is>
      </c>
      <c r="F67" t="inlineStr">
        <is>
          <t>money, to 0.01</t>
        </is>
      </c>
    </row>
    <row r="68">
      <c r="A68" t="inlineStr">
        <is>
          <t>Y3 closing cash</t>
        </is>
      </c>
      <c r="B68" t="inlineStr">
        <is>
          <t>cash_3</t>
        </is>
      </c>
      <c r="C68" s="4">
        <f>$C$60+$C$66</f>
        <v/>
      </c>
      <c r="D68" s="4" t="n">
        <v>213.1</v>
      </c>
      <c r="E68" t="inlineStr">
        <is>
          <t>debt_schedule.cash_balance.2</t>
        </is>
      </c>
      <c r="F68" t="inlineStr">
        <is>
          <t>money, to 0.01</t>
        </is>
      </c>
    </row>
    <row r="69">
      <c r="A69" t="inlineStr">
        <is>
          <t>Net debt at exit (debt - cash + lease liability)</t>
        </is>
      </c>
      <c r="B69" t="inlineStr">
        <is>
          <t>net_debt_exit</t>
        </is>
      </c>
      <c r="C69" s="4">
        <f>$C$67-$C$68</f>
        <v/>
      </c>
      <c r="D69" s="4" t="n">
        <v>319.3</v>
      </c>
      <c r="E69" t="inlineStr">
        <is>
          <t>returns.net_debt_at_exit</t>
        </is>
      </c>
      <c r="F69" t="inlineStr">
        <is>
          <t>money, to 0.01</t>
        </is>
      </c>
    </row>
    <row r="70">
      <c r="A70" t="inlineStr">
        <is>
          <t>Exit EV = (final-year EBITDA + lease add-back) x exit multiple</t>
        </is>
      </c>
      <c r="B70" t="inlineStr">
        <is>
          <t>exit_ev</t>
        </is>
      </c>
      <c r="C70" s="4">
        <f>($C$41+0)*$C$15</f>
        <v/>
      </c>
      <c r="D70" s="4" t="n">
        <v>800</v>
      </c>
      <c r="E70" t="inlineStr">
        <is>
          <t>returns.exit_ev</t>
        </is>
      </c>
      <c r="F70" t="inlineStr">
        <is>
          <t>money, to 0.01</t>
        </is>
      </c>
    </row>
    <row r="71">
      <c r="A71" t="inlineStr">
        <is>
          <t>Exit equity = exit EV - net debt</t>
        </is>
      </c>
      <c r="B71" t="inlineStr">
        <is>
          <t>exit_equity</t>
        </is>
      </c>
      <c r="C71" s="4">
        <f>$C$70-$C$69</f>
        <v/>
      </c>
      <c r="D71" s="4" t="n">
        <v>480.7</v>
      </c>
      <c r="E71" t="inlineStr">
        <is>
          <t>returns.net_exit_equity</t>
        </is>
      </c>
      <c r="F71" t="inlineStr">
        <is>
          <t>money, to 0.01</t>
        </is>
      </c>
    </row>
    <row r="72">
      <c r="A72" t="inlineStr">
        <is>
          <t>MOIC = exit equity / entry equity</t>
        </is>
      </c>
      <c r="B72" t="inlineStr">
        <is>
          <t>moic</t>
        </is>
      </c>
      <c r="C72" s="5">
        <f>$C$71/$C$24</f>
        <v/>
      </c>
      <c r="D72" s="5" t="n">
        <v>1.20175</v>
      </c>
      <c r="E72" t="inlineStr">
        <is>
          <t>returns.moic</t>
        </is>
      </c>
      <c r="F72" t="inlineStr">
        <is>
          <t>multiple, to 0.01</t>
        </is>
      </c>
    </row>
    <row r="73">
      <c r="A73" t="inlineStr">
        <is>
          <t>IRR = MOIC ^ (1 / years) - 1</t>
        </is>
      </c>
      <c r="B73" t="inlineStr">
        <is>
          <t>irr</t>
        </is>
      </c>
      <c r="C73" s="6">
        <f>$C$72^(1/$C$16)-1</f>
        <v/>
      </c>
      <c r="D73" s="6" t="n">
        <v>0.06317488841317287</v>
      </c>
      <c r="E73" t="inlineStr">
        <is>
          <t>returns.irr</t>
        </is>
      </c>
      <c r="F73" t="inlineStr">
        <is>
          <t>per cent, to 0.01</t>
        </is>
      </c>
    </row>
    <row r="75">
      <c r="A75" s="3" t="inlineStr">
        <is>
          <t>Headline answers, typed by hand</t>
        </is>
      </c>
    </row>
    <row r="76">
      <c r="A76" t="inlineStr">
        <is>
          <t>Sponsor equity = EV + costs + minimum cash - debt - lease liability</t>
        </is>
      </c>
      <c r="B76" t="inlineStr">
        <is>
          <t>equity</t>
        </is>
      </c>
      <c r="D76" s="4" t="n">
        <v>400</v>
      </c>
    </row>
    <row r="77">
      <c r="A77" t="inlineStr">
        <is>
          <t>Exit equity = exit EV - net debt</t>
        </is>
      </c>
      <c r="B77" t="inlineStr">
        <is>
          <t>exit_equity</t>
        </is>
      </c>
      <c r="D77" s="4" t="n">
        <v>480.7</v>
      </c>
    </row>
  </sheetData>
  <mergeCells count="1">
    <mergeCell ref="A3:F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11. Unitranche taking half the sweep</t>
        </is>
      </c>
    </row>
    <row r="2">
      <c r="A2" t="inlineStr">
        <is>
          <t>Covers: unitranche</t>
        </is>
      </c>
    </row>
    <row r="3" ht="90" customHeight="1">
      <c r="A3" s="2" t="inlineStr">
        <is>
          <t>A 400 unitranche at a 5% reference (floor 0) + 5% margin, taking 50% of the cash available each year. The share is of all the cash available, including what was kept the year before: year 1 sweeps 15 of 30 and keeps 15; year 2 has 15 + 31.125 and sweeps 23.06; year 3 sweeps 27.96 of 55.92.</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ref</t>
        </is>
      </c>
      <c r="B17" t="inlineStr">
        <is>
          <t>ref</t>
        </is>
      </c>
      <c r="C17" t="n">
        <v>0.05</v>
      </c>
    </row>
    <row r="18">
      <c r="A18" t="inlineStr">
        <is>
          <t>floor</t>
        </is>
      </c>
      <c r="B18" t="inlineStr">
        <is>
          <t>floor</t>
        </is>
      </c>
      <c r="C18" t="n">
        <v>0</v>
      </c>
    </row>
    <row r="19">
      <c r="A19" t="inlineStr">
        <is>
          <t>margin</t>
        </is>
      </c>
      <c r="B19" t="inlineStr">
        <is>
          <t>margin</t>
        </is>
      </c>
      <c r="C19" t="n">
        <v>0.05</v>
      </c>
    </row>
    <row r="20">
      <c r="A20" t="inlineStr">
        <is>
          <t>share</t>
        </is>
      </c>
      <c r="B20" t="inlineStr">
        <is>
          <t>share</t>
        </is>
      </c>
      <c r="C20" t="n">
        <v>0.5</v>
      </c>
    </row>
    <row r="22">
      <c r="A22" s="3" t="inlineStr">
        <is>
          <t>Working</t>
        </is>
      </c>
      <c r="B22" s="3" t="inlineStr">
        <is>
          <t>Name</t>
        </is>
      </c>
      <c r="C22" s="3" t="inlineStr">
        <is>
          <t>Formula</t>
        </is>
      </c>
      <c r="D22" s="3" t="inlineStr">
        <is>
          <t>Comes to</t>
        </is>
      </c>
      <c r="E22" s="3" t="inlineStr">
        <is>
          <t>Engine figure it must match</t>
        </is>
      </c>
      <c r="F22" s="3" t="inlineStr">
        <is>
          <t>Compared as</t>
        </is>
      </c>
    </row>
    <row r="23">
      <c r="A23" t="inlineStr">
        <is>
          <t>Operating EBITDA (what the model grows)</t>
        </is>
      </c>
      <c r="B23" t="inlineStr">
        <is>
          <t>op_ebitda</t>
        </is>
      </c>
      <c r="C23" s="4">
        <f>$C$6</f>
        <v/>
      </c>
      <c r="D23" s="4" t="n">
        <v>100</v>
      </c>
    </row>
    <row r="24">
      <c r="A24" t="inlineStr">
        <is>
          <t>Entry EV = (EBITDA + lease add-back) x entry multiple</t>
        </is>
      </c>
      <c r="B24" t="inlineStr">
        <is>
          <t>ev</t>
        </is>
      </c>
      <c r="C24" s="4">
        <f>($C$23+0)*$C$14</f>
        <v/>
      </c>
      <c r="D24" s="4" t="n">
        <v>800</v>
      </c>
    </row>
    <row r="25">
      <c r="A25" t="inlineStr">
        <is>
          <t>Debt drawn at close</t>
        </is>
      </c>
      <c r="B25" t="inlineStr">
        <is>
          <t>debt</t>
        </is>
      </c>
      <c r="C25" s="4">
        <f>400</f>
        <v/>
      </c>
      <c r="D25" s="4" t="n">
        <v>400</v>
      </c>
    </row>
    <row r="26">
      <c r="A26" t="inlineStr">
        <is>
          <t>Entry costs (fees and other uses)</t>
        </is>
      </c>
      <c r="B26" t="inlineStr">
        <is>
          <t>costs</t>
        </is>
      </c>
      <c r="C26" s="4">
        <f>0</f>
        <v/>
      </c>
      <c r="D26" s="4" t="n">
        <v>0</v>
      </c>
    </row>
    <row r="27">
      <c r="A27" t="inlineStr">
        <is>
          <t>Sponsor equity = EV + costs + minimum cash - debt - lease liability</t>
        </is>
      </c>
      <c r="B27" t="inlineStr">
        <is>
          <t>equity</t>
        </is>
      </c>
      <c r="C27" s="4">
        <f>$C$24+$C$26+0-$C$25-0</f>
        <v/>
      </c>
      <c r="D27" s="4" t="n">
        <v>400</v>
      </c>
      <c r="E27" t="inlineStr">
        <is>
          <t>returns.entry_equity</t>
        </is>
      </c>
      <c r="F27" t="inlineStr">
        <is>
          <t>money, to 0.01</t>
        </is>
      </c>
    </row>
    <row r="28">
      <c r="A28" t="inlineStr">
        <is>
          <t>Base revenue = EBITDA / (gross margin - opex + D&amp;A)</t>
        </is>
      </c>
      <c r="B28" t="inlineStr">
        <is>
          <t>rev_0</t>
        </is>
      </c>
      <c r="C28" s="4">
        <f>$C$6/($C$7-$C$8+$C$9)</f>
        <v/>
      </c>
      <c r="D28" s="4" t="n">
        <v>400</v>
      </c>
    </row>
    <row r="29">
      <c r="A29" t="inlineStr">
        <is>
          <t>Y1 revenue</t>
        </is>
      </c>
      <c r="B29" t="inlineStr">
        <is>
          <t>rev_1</t>
        </is>
      </c>
      <c r="C29" s="4">
        <f>$C$28*(1+$C$10)</f>
        <v/>
      </c>
      <c r="D29" s="4" t="n">
        <v>400</v>
      </c>
      <c r="E29" t="inlineStr">
        <is>
          <t>operating_model.revenue.0</t>
        </is>
      </c>
      <c r="F29" t="inlineStr">
        <is>
          <t>money, to 0.01</t>
        </is>
      </c>
    </row>
    <row r="30">
      <c r="A30" t="inlineStr">
        <is>
          <t>Y1 EBIT = revenue x (gross margin - opex)</t>
        </is>
      </c>
      <c r="B30" t="inlineStr">
        <is>
          <t>ebit_1</t>
        </is>
      </c>
      <c r="C30" s="4">
        <f>$C$29*($C$7-$C$8)</f>
        <v/>
      </c>
      <c r="D30" s="4" t="n">
        <v>80</v>
      </c>
      <c r="E30" t="inlineStr">
        <is>
          <t>operating_model.ebit.0</t>
        </is>
      </c>
      <c r="F30" t="inlineStr">
        <is>
          <t>money, to 0.01</t>
        </is>
      </c>
    </row>
    <row r="31">
      <c r="A31" t="inlineStr">
        <is>
          <t>Y1 D&amp;A</t>
        </is>
      </c>
      <c r="B31" t="inlineStr">
        <is>
          <t>da_1</t>
        </is>
      </c>
      <c r="C31" s="4">
        <f>$C$29*$C$9</f>
        <v/>
      </c>
      <c r="D31" s="4" t="n">
        <v>20</v>
      </c>
      <c r="E31" t="inlineStr">
        <is>
          <t>operating_model.da.0</t>
        </is>
      </c>
      <c r="F31" t="inlineStr">
        <is>
          <t>money, to 0.01</t>
        </is>
      </c>
    </row>
    <row r="32">
      <c r="A32" t="inlineStr">
        <is>
          <t>Y1 EBITDA</t>
        </is>
      </c>
      <c r="B32" t="inlineStr">
        <is>
          <t>ebitda_1</t>
        </is>
      </c>
      <c r="C32" s="4">
        <f>$C$30+$C$31</f>
        <v/>
      </c>
      <c r="D32" s="4" t="n">
        <v>100</v>
      </c>
      <c r="E32" t="inlineStr">
        <is>
          <t>operating_model.ebitda.0</t>
        </is>
      </c>
      <c r="F32" t="inlineStr">
        <is>
          <t>money, to 0.01</t>
        </is>
      </c>
    </row>
    <row r="33">
      <c r="A33" t="inlineStr">
        <is>
          <t>Y1 capex</t>
        </is>
      </c>
      <c r="B33" t="inlineStr">
        <is>
          <t>capex_1</t>
        </is>
      </c>
      <c r="C33" s="4">
        <f>$C$29*$C$11</f>
        <v/>
      </c>
      <c r="D33" s="4" t="n">
        <v>20</v>
      </c>
      <c r="E33" t="inlineStr">
        <is>
          <t>cash_flow.capex.0</t>
        </is>
      </c>
      <c r="F33" t="inlineStr">
        <is>
          <t>money, to 0.01</t>
        </is>
      </c>
    </row>
    <row r="34">
      <c r="A34" t="inlineStr">
        <is>
          <t>Y1 change in working capital</t>
        </is>
      </c>
      <c r="B34" t="inlineStr">
        <is>
          <t>dnwc_1</t>
        </is>
      </c>
      <c r="C34" s="4">
        <f>$C$29*$C$12</f>
        <v/>
      </c>
      <c r="D34" s="4" t="n">
        <v>0</v>
      </c>
      <c r="E34" t="inlineStr">
        <is>
          <t>cash_flow.delta_nwc.0</t>
        </is>
      </c>
      <c r="F34" t="inlineStr">
        <is>
          <t>money, to 0.01</t>
        </is>
      </c>
    </row>
    <row r="35">
      <c r="A35" t="inlineStr">
        <is>
          <t>Y2 revenue</t>
        </is>
      </c>
      <c r="B35" t="inlineStr">
        <is>
          <t>rev_2</t>
        </is>
      </c>
      <c r="C35" s="4">
        <f>$C$29*(1+$C$10)</f>
        <v/>
      </c>
      <c r="D35" s="4" t="n">
        <v>400</v>
      </c>
      <c r="E35" t="inlineStr">
        <is>
          <t>operating_model.revenue.1</t>
        </is>
      </c>
      <c r="F35" t="inlineStr">
        <is>
          <t>money, to 0.01</t>
        </is>
      </c>
    </row>
    <row r="36">
      <c r="A36" t="inlineStr">
        <is>
          <t>Y2 EBIT = revenue x (gross margin - opex)</t>
        </is>
      </c>
      <c r="B36" t="inlineStr">
        <is>
          <t>ebit_2</t>
        </is>
      </c>
      <c r="C36" s="4">
        <f>$C$35*($C$7-$C$8)</f>
        <v/>
      </c>
      <c r="D36" s="4" t="n">
        <v>80</v>
      </c>
      <c r="E36" t="inlineStr">
        <is>
          <t>operating_model.ebit.1</t>
        </is>
      </c>
      <c r="F36" t="inlineStr">
        <is>
          <t>money, to 0.01</t>
        </is>
      </c>
    </row>
    <row r="37">
      <c r="A37" t="inlineStr">
        <is>
          <t>Y2 D&amp;A</t>
        </is>
      </c>
      <c r="B37" t="inlineStr">
        <is>
          <t>da_2</t>
        </is>
      </c>
      <c r="C37" s="4">
        <f>$C$35*$C$9</f>
        <v/>
      </c>
      <c r="D37" s="4" t="n">
        <v>20</v>
      </c>
      <c r="E37" t="inlineStr">
        <is>
          <t>operating_model.da.1</t>
        </is>
      </c>
      <c r="F37" t="inlineStr">
        <is>
          <t>money, to 0.01</t>
        </is>
      </c>
    </row>
    <row r="38">
      <c r="A38" t="inlineStr">
        <is>
          <t>Y2 EBITDA</t>
        </is>
      </c>
      <c r="B38" t="inlineStr">
        <is>
          <t>ebitda_2</t>
        </is>
      </c>
      <c r="C38" s="4">
        <f>$C$36+$C$37</f>
        <v/>
      </c>
      <c r="D38" s="4" t="n">
        <v>100</v>
      </c>
      <c r="E38" t="inlineStr">
        <is>
          <t>operating_model.ebitda.1</t>
        </is>
      </c>
      <c r="F38" t="inlineStr">
        <is>
          <t>money, to 0.01</t>
        </is>
      </c>
    </row>
    <row r="39">
      <c r="A39" t="inlineStr">
        <is>
          <t>Y2 capex</t>
        </is>
      </c>
      <c r="B39" t="inlineStr">
        <is>
          <t>capex_2</t>
        </is>
      </c>
      <c r="C39" s="4">
        <f>$C$35*$C$11</f>
        <v/>
      </c>
      <c r="D39" s="4" t="n">
        <v>20</v>
      </c>
      <c r="E39" t="inlineStr">
        <is>
          <t>cash_flow.capex.1</t>
        </is>
      </c>
      <c r="F39" t="inlineStr">
        <is>
          <t>money, to 0.01</t>
        </is>
      </c>
    </row>
    <row r="40">
      <c r="A40" t="inlineStr">
        <is>
          <t>Y2 change in working capital</t>
        </is>
      </c>
      <c r="B40" t="inlineStr">
        <is>
          <t>dnwc_2</t>
        </is>
      </c>
      <c r="C40" s="4">
        <f>$C$35*$C$12</f>
        <v/>
      </c>
      <c r="D40" s="4" t="n">
        <v>0</v>
      </c>
      <c r="E40" t="inlineStr">
        <is>
          <t>cash_flow.delta_nwc.1</t>
        </is>
      </c>
      <c r="F40" t="inlineStr">
        <is>
          <t>money, to 0.01</t>
        </is>
      </c>
    </row>
    <row r="41">
      <c r="A41" t="inlineStr">
        <is>
          <t>Y3 revenue</t>
        </is>
      </c>
      <c r="B41" t="inlineStr">
        <is>
          <t>rev_3</t>
        </is>
      </c>
      <c r="C41" s="4">
        <f>$C$35*(1+$C$10)</f>
        <v/>
      </c>
      <c r="D41" s="4" t="n">
        <v>400</v>
      </c>
      <c r="E41" t="inlineStr">
        <is>
          <t>operating_model.revenue.2</t>
        </is>
      </c>
      <c r="F41" t="inlineStr">
        <is>
          <t>money, to 0.01</t>
        </is>
      </c>
    </row>
    <row r="42">
      <c r="A42" t="inlineStr">
        <is>
          <t>Y3 EBIT = revenue x (gross margin - opex)</t>
        </is>
      </c>
      <c r="B42" t="inlineStr">
        <is>
          <t>ebit_3</t>
        </is>
      </c>
      <c r="C42" s="4">
        <f>$C$41*($C$7-$C$8)</f>
        <v/>
      </c>
      <c r="D42" s="4" t="n">
        <v>80</v>
      </c>
      <c r="E42" t="inlineStr">
        <is>
          <t>operating_model.ebit.2</t>
        </is>
      </c>
      <c r="F42" t="inlineStr">
        <is>
          <t>money, to 0.01</t>
        </is>
      </c>
    </row>
    <row r="43">
      <c r="A43" t="inlineStr">
        <is>
          <t>Y3 D&amp;A</t>
        </is>
      </c>
      <c r="B43" t="inlineStr">
        <is>
          <t>da_3</t>
        </is>
      </c>
      <c r="C43" s="4">
        <f>$C$41*$C$9</f>
        <v/>
      </c>
      <c r="D43" s="4" t="n">
        <v>20</v>
      </c>
      <c r="E43" t="inlineStr">
        <is>
          <t>operating_model.da.2</t>
        </is>
      </c>
      <c r="F43" t="inlineStr">
        <is>
          <t>money, to 0.01</t>
        </is>
      </c>
    </row>
    <row r="44">
      <c r="A44" t="inlineStr">
        <is>
          <t>Y3 EBITDA</t>
        </is>
      </c>
      <c r="B44" t="inlineStr">
        <is>
          <t>ebitda_3</t>
        </is>
      </c>
      <c r="C44" s="4">
        <f>$C$42+$C$43</f>
        <v/>
      </c>
      <c r="D44" s="4" t="n">
        <v>100</v>
      </c>
      <c r="E44" t="inlineStr">
        <is>
          <t>operating_model.ebitda.2</t>
        </is>
      </c>
      <c r="F44" t="inlineStr">
        <is>
          <t>money, to 0.01</t>
        </is>
      </c>
    </row>
    <row r="45">
      <c r="A45" t="inlineStr">
        <is>
          <t>Y3 capex</t>
        </is>
      </c>
      <c r="B45" t="inlineStr">
        <is>
          <t>capex_3</t>
        </is>
      </c>
      <c r="C45" s="4">
        <f>$C$41*$C$11</f>
        <v/>
      </c>
      <c r="D45" s="4" t="n">
        <v>20</v>
      </c>
      <c r="E45" t="inlineStr">
        <is>
          <t>cash_flow.capex.2</t>
        </is>
      </c>
      <c r="F45" t="inlineStr">
        <is>
          <t>money, to 0.01</t>
        </is>
      </c>
    </row>
    <row r="46">
      <c r="A46" t="inlineStr">
        <is>
          <t>Y3 change in working capital</t>
        </is>
      </c>
      <c r="B46" t="inlineStr">
        <is>
          <t>dnwc_3</t>
        </is>
      </c>
      <c r="C46" s="4">
        <f>$C$41*$C$12</f>
        <v/>
      </c>
      <c r="D46" s="4" t="n">
        <v>0</v>
      </c>
      <c r="E46" t="inlineStr">
        <is>
          <t>cash_flow.delta_nwc.2</t>
        </is>
      </c>
      <c r="F46" t="inlineStr">
        <is>
          <t>money, to 0.01</t>
        </is>
      </c>
    </row>
    <row r="47">
      <c r="A47" t="inlineStr">
        <is>
          <t>Rate = max(reference, floor) + margin</t>
        </is>
      </c>
      <c r="B47" t="inlineStr">
        <is>
          <t>rate</t>
        </is>
      </c>
      <c r="C47" s="4">
        <f>MAX($C$17,$C$18)+$C$19</f>
        <v/>
      </c>
      <c r="D47" s="4" t="n">
        <v>0.1</v>
      </c>
    </row>
    <row r="48">
      <c r="A48" t="inlineStr">
        <is>
          <t>Unitranche at close</t>
        </is>
      </c>
      <c r="B48" t="inlineStr">
        <is>
          <t>bal_0</t>
        </is>
      </c>
      <c r="C48" s="4">
        <f>$C$25</f>
        <v/>
      </c>
      <c r="D48" s="4" t="n">
        <v>400</v>
      </c>
    </row>
    <row r="49">
      <c r="A49" t="inlineStr">
        <is>
          <t>Y1 interest expense</t>
        </is>
      </c>
      <c r="B49" t="inlineStr">
        <is>
          <t>int_1</t>
        </is>
      </c>
      <c r="C49" s="4">
        <f>$C$48*$C$47</f>
        <v/>
      </c>
      <c r="D49" s="4" t="n">
        <v>40</v>
      </c>
      <c r="E49" t="inlineStr">
        <is>
          <t>operating_model.interest_expense.0</t>
        </is>
      </c>
      <c r="F49" t="inlineStr">
        <is>
          <t>money, to 0.01</t>
        </is>
      </c>
    </row>
    <row r="50">
      <c r="A50" t="inlineStr">
        <is>
          <t>Y1 profit before tax = EBIT - interest + interest income</t>
        </is>
      </c>
      <c r="B50" t="inlineStr">
        <is>
          <t>ebt_1</t>
        </is>
      </c>
      <c r="C50" s="4">
        <f>$C$30-$C$49+0</f>
        <v/>
      </c>
      <c r="D50" s="4" t="n">
        <v>40</v>
      </c>
      <c r="E50" t="inlineStr">
        <is>
          <t>operating_model.ebt.0</t>
        </is>
      </c>
      <c r="F50" t="inlineStr">
        <is>
          <t>money, to 0.01</t>
        </is>
      </c>
    </row>
    <row r="51">
      <c r="A51" t="inlineStr">
        <is>
          <t>Y1 tax</t>
        </is>
      </c>
      <c r="B51" t="inlineStr">
        <is>
          <t>tax_1</t>
        </is>
      </c>
      <c r="C51" s="4">
        <f>MAX($C$50,0)*$C$13</f>
        <v/>
      </c>
      <c r="D51" s="4" t="n">
        <v>10</v>
      </c>
      <c r="E51" t="inlineStr">
        <is>
          <t>operating_model.taxes.0</t>
        </is>
      </c>
      <c r="F51" t="inlineStr">
        <is>
          <t>money, to 0.01</t>
        </is>
      </c>
    </row>
    <row r="52">
      <c r="A52" t="inlineStr">
        <is>
          <t>Y1 net income</t>
        </is>
      </c>
      <c r="B52" t="inlineStr">
        <is>
          <t>ni_1</t>
        </is>
      </c>
      <c r="C52" s="4">
        <f>$C$50-$C$51</f>
        <v/>
      </c>
      <c r="D52" s="4" t="n">
        <v>30</v>
      </c>
      <c r="E52" t="inlineStr">
        <is>
          <t>operating_model.net_income.0</t>
        </is>
      </c>
      <c r="F52" t="inlineStr">
        <is>
          <t>money, to 0.01</t>
        </is>
      </c>
    </row>
    <row r="53">
      <c r="A53" t="inlineStr">
        <is>
          <t>Y1 levered free cash flow (before repaying debt)</t>
        </is>
      </c>
      <c r="B53" t="inlineStr">
        <is>
          <t>fcf_1</t>
        </is>
      </c>
      <c r="C53" s="4">
        <f>$C$52+$C$31-$C$33-$C$34</f>
        <v/>
      </c>
      <c r="D53" s="4" t="n">
        <v>30</v>
      </c>
      <c r="E53" t="inlineStr">
        <is>
          <t>cash_flow.levered_fcf.0</t>
        </is>
      </c>
      <c r="F53" t="inlineStr">
        <is>
          <t>money, to 0.01</t>
        </is>
      </c>
    </row>
    <row r="54">
      <c r="A54" t="inlineStr">
        <is>
          <t>Y1 cash available = cash carried in + free cash flow</t>
        </is>
      </c>
      <c r="B54" t="inlineStr">
        <is>
          <t>avail_1</t>
        </is>
      </c>
      <c r="C54" s="4">
        <f>0+$C$53</f>
        <v/>
      </c>
      <c r="D54" s="4" t="n">
        <v>30</v>
      </c>
      <c r="E54" t="inlineStr">
        <is>
          <t>debt_schedule.available_for_sweep.0</t>
        </is>
      </c>
      <c r="F54" t="inlineStr">
        <is>
          <t>money, to 0.01</t>
        </is>
      </c>
    </row>
    <row r="55">
      <c r="A55" t="inlineStr">
        <is>
          <t>Y1 sweep = half the cash available</t>
        </is>
      </c>
      <c r="B55" t="inlineStr">
        <is>
          <t>sweep_1</t>
        </is>
      </c>
      <c r="C55" s="4">
        <f>MIN($C$54*$C$20,$C$48)</f>
        <v/>
      </c>
      <c r="D55" s="4" t="n">
        <v>15</v>
      </c>
      <c r="E55" t="inlineStr">
        <is>
          <t>tranches.Unitranche.0.cash_sweep</t>
        </is>
      </c>
      <c r="F55" t="inlineStr">
        <is>
          <t>money, to 0.01</t>
        </is>
      </c>
    </row>
    <row r="56">
      <c r="A56" t="inlineStr">
        <is>
          <t>Y1 closing balance</t>
        </is>
      </c>
      <c r="B56" t="inlineStr">
        <is>
          <t>bal_1</t>
        </is>
      </c>
      <c r="C56" s="4">
        <f>$C$48-$C$55</f>
        <v/>
      </c>
      <c r="D56" s="4" t="n">
        <v>385</v>
      </c>
      <c r="E56" t="inlineStr">
        <is>
          <t>tranches.Unitranche.0.ending_balance</t>
        </is>
      </c>
      <c r="F56" t="inlineStr">
        <is>
          <t>money, to 0.01</t>
        </is>
      </c>
    </row>
    <row r="57">
      <c r="A57" t="inlineStr">
        <is>
          <t>Y1 closing cash = the half not swept</t>
        </is>
      </c>
      <c r="B57" t="inlineStr">
        <is>
          <t>cash_1</t>
        </is>
      </c>
      <c r="C57" s="4">
        <f>$C$54-$C$55</f>
        <v/>
      </c>
      <c r="D57" s="4" t="n">
        <v>15</v>
      </c>
      <c r="E57" t="inlineStr">
        <is>
          <t>debt_schedule.cash_balance.0</t>
        </is>
      </c>
      <c r="F57" t="inlineStr">
        <is>
          <t>money, to 0.01</t>
        </is>
      </c>
    </row>
    <row r="58">
      <c r="A58" t="inlineStr">
        <is>
          <t>Y2 interest expense</t>
        </is>
      </c>
      <c r="B58" t="inlineStr">
        <is>
          <t>int_2</t>
        </is>
      </c>
      <c r="C58" s="4">
        <f>$C$56*$C$47</f>
        <v/>
      </c>
      <c r="D58" s="4" t="n">
        <v>38.5</v>
      </c>
      <c r="E58" t="inlineStr">
        <is>
          <t>operating_model.interest_expense.1</t>
        </is>
      </c>
      <c r="F58" t="inlineStr">
        <is>
          <t>money, to 0.01</t>
        </is>
      </c>
    </row>
    <row r="59">
      <c r="A59" t="inlineStr">
        <is>
          <t>Y2 profit before tax = EBIT - interest + interest income</t>
        </is>
      </c>
      <c r="B59" t="inlineStr">
        <is>
          <t>ebt_2</t>
        </is>
      </c>
      <c r="C59" s="4">
        <f>$C$36-$C$58+0</f>
        <v/>
      </c>
      <c r="D59" s="4" t="n">
        <v>41.5</v>
      </c>
      <c r="E59" t="inlineStr">
        <is>
          <t>operating_model.ebt.1</t>
        </is>
      </c>
      <c r="F59" t="inlineStr">
        <is>
          <t>money, to 0.01</t>
        </is>
      </c>
    </row>
    <row r="60">
      <c r="A60" t="inlineStr">
        <is>
          <t>Y2 tax</t>
        </is>
      </c>
      <c r="B60" t="inlineStr">
        <is>
          <t>tax_2</t>
        </is>
      </c>
      <c r="C60" s="4">
        <f>MAX($C$59,0)*$C$13</f>
        <v/>
      </c>
      <c r="D60" s="4" t="n">
        <v>10.375</v>
      </c>
      <c r="E60" t="inlineStr">
        <is>
          <t>operating_model.taxes.1</t>
        </is>
      </c>
      <c r="F60" t="inlineStr">
        <is>
          <t>money, to 0.01</t>
        </is>
      </c>
    </row>
    <row r="61">
      <c r="A61" t="inlineStr">
        <is>
          <t>Y2 net income</t>
        </is>
      </c>
      <c r="B61" t="inlineStr">
        <is>
          <t>ni_2</t>
        </is>
      </c>
      <c r="C61" s="4">
        <f>$C$59-$C$60</f>
        <v/>
      </c>
      <c r="D61" s="4" t="n">
        <v>31.125</v>
      </c>
      <c r="E61" t="inlineStr">
        <is>
          <t>operating_model.net_income.1</t>
        </is>
      </c>
      <c r="F61" t="inlineStr">
        <is>
          <t>money, to 0.01</t>
        </is>
      </c>
    </row>
    <row r="62">
      <c r="A62" t="inlineStr">
        <is>
          <t>Y2 levered free cash flow (before repaying debt)</t>
        </is>
      </c>
      <c r="B62" t="inlineStr">
        <is>
          <t>fcf_2</t>
        </is>
      </c>
      <c r="C62" s="4">
        <f>$C$61+$C$37-$C$39-$C$40</f>
        <v/>
      </c>
      <c r="D62" s="4" t="n">
        <v>31.125</v>
      </c>
      <c r="E62" t="inlineStr">
        <is>
          <t>cash_flow.levered_fcf.1</t>
        </is>
      </c>
      <c r="F62" t="inlineStr">
        <is>
          <t>money, to 0.01</t>
        </is>
      </c>
    </row>
    <row r="63">
      <c r="A63" t="inlineStr">
        <is>
          <t>Y2 cash available = cash carried in + free cash flow</t>
        </is>
      </c>
      <c r="B63" t="inlineStr">
        <is>
          <t>avail_2</t>
        </is>
      </c>
      <c r="C63" s="4">
        <f>$C$57+$C$62</f>
        <v/>
      </c>
      <c r="D63" s="4" t="n">
        <v>46.125</v>
      </c>
      <c r="E63" t="inlineStr">
        <is>
          <t>debt_schedule.available_for_sweep.1</t>
        </is>
      </c>
      <c r="F63" t="inlineStr">
        <is>
          <t>money, to 0.01</t>
        </is>
      </c>
    </row>
    <row r="64">
      <c r="A64" t="inlineStr">
        <is>
          <t>Y2 sweep = half the cash available</t>
        </is>
      </c>
      <c r="B64" t="inlineStr">
        <is>
          <t>sweep_2</t>
        </is>
      </c>
      <c r="C64" s="4">
        <f>MIN($C$63*$C$20,$C$56)</f>
        <v/>
      </c>
      <c r="D64" s="4" t="n">
        <v>23.0625</v>
      </c>
      <c r="E64" t="inlineStr">
        <is>
          <t>tranches.Unitranche.1.cash_sweep</t>
        </is>
      </c>
      <c r="F64" t="inlineStr">
        <is>
          <t>money, to 0.01</t>
        </is>
      </c>
    </row>
    <row r="65">
      <c r="A65" t="inlineStr">
        <is>
          <t>Y2 closing balance</t>
        </is>
      </c>
      <c r="B65" t="inlineStr">
        <is>
          <t>bal_2</t>
        </is>
      </c>
      <c r="C65" s="4">
        <f>$C$56-$C$64</f>
        <v/>
      </c>
      <c r="D65" s="4" t="n">
        <v>361.9375</v>
      </c>
      <c r="E65" t="inlineStr">
        <is>
          <t>tranches.Unitranche.1.ending_balance</t>
        </is>
      </c>
      <c r="F65" t="inlineStr">
        <is>
          <t>money, to 0.01</t>
        </is>
      </c>
    </row>
    <row r="66">
      <c r="A66" t="inlineStr">
        <is>
          <t>Y2 closing cash = the half not swept</t>
        </is>
      </c>
      <c r="B66" t="inlineStr">
        <is>
          <t>cash_2</t>
        </is>
      </c>
      <c r="C66" s="4">
        <f>$C$63-$C$64</f>
        <v/>
      </c>
      <c r="D66" s="4" t="n">
        <v>23.0625</v>
      </c>
      <c r="E66" t="inlineStr">
        <is>
          <t>debt_schedule.cash_balance.1</t>
        </is>
      </c>
      <c r="F66" t="inlineStr">
        <is>
          <t>money, to 0.01</t>
        </is>
      </c>
    </row>
    <row r="67">
      <c r="A67" t="inlineStr">
        <is>
          <t>Y3 interest expense</t>
        </is>
      </c>
      <c r="B67" t="inlineStr">
        <is>
          <t>int_3</t>
        </is>
      </c>
      <c r="C67" s="4">
        <f>$C$65*$C$47</f>
        <v/>
      </c>
      <c r="D67" s="4" t="n">
        <v>36.19375</v>
      </c>
      <c r="E67" t="inlineStr">
        <is>
          <t>operating_model.interest_expense.2</t>
        </is>
      </c>
      <c r="F67" t="inlineStr">
        <is>
          <t>money, to 0.01</t>
        </is>
      </c>
    </row>
    <row r="68">
      <c r="A68" t="inlineStr">
        <is>
          <t>Y3 profit before tax = EBIT - interest + interest income</t>
        </is>
      </c>
      <c r="B68" t="inlineStr">
        <is>
          <t>ebt_3</t>
        </is>
      </c>
      <c r="C68" s="4">
        <f>$C$42-$C$67+0</f>
        <v/>
      </c>
      <c r="D68" s="4" t="n">
        <v>43.80625</v>
      </c>
      <c r="E68" t="inlineStr">
        <is>
          <t>operating_model.ebt.2</t>
        </is>
      </c>
      <c r="F68" t="inlineStr">
        <is>
          <t>money, to 0.01</t>
        </is>
      </c>
    </row>
    <row r="69">
      <c r="A69" t="inlineStr">
        <is>
          <t>Y3 tax</t>
        </is>
      </c>
      <c r="B69" t="inlineStr">
        <is>
          <t>tax_3</t>
        </is>
      </c>
      <c r="C69" s="4">
        <f>MAX($C$68,0)*$C$13</f>
        <v/>
      </c>
      <c r="D69" s="4" t="n">
        <v>10.9515625</v>
      </c>
      <c r="E69" t="inlineStr">
        <is>
          <t>operating_model.taxes.2</t>
        </is>
      </c>
      <c r="F69" t="inlineStr">
        <is>
          <t>money, to 0.01</t>
        </is>
      </c>
    </row>
    <row r="70">
      <c r="A70" t="inlineStr">
        <is>
          <t>Y3 net income</t>
        </is>
      </c>
      <c r="B70" t="inlineStr">
        <is>
          <t>ni_3</t>
        </is>
      </c>
      <c r="C70" s="4">
        <f>$C$68-$C$69</f>
        <v/>
      </c>
      <c r="D70" s="4" t="n">
        <v>32.8546875</v>
      </c>
      <c r="E70" t="inlineStr">
        <is>
          <t>operating_model.net_income.2</t>
        </is>
      </c>
      <c r="F70" t="inlineStr">
        <is>
          <t>money, to 0.01</t>
        </is>
      </c>
    </row>
    <row r="71">
      <c r="A71" t="inlineStr">
        <is>
          <t>Y3 levered free cash flow (before repaying debt)</t>
        </is>
      </c>
      <c r="B71" t="inlineStr">
        <is>
          <t>fcf_3</t>
        </is>
      </c>
      <c r="C71" s="4">
        <f>$C$70+$C$43-$C$45-$C$46</f>
        <v/>
      </c>
      <c r="D71" s="4" t="n">
        <v>32.8546875</v>
      </c>
      <c r="E71" t="inlineStr">
        <is>
          <t>cash_flow.levered_fcf.2</t>
        </is>
      </c>
      <c r="F71" t="inlineStr">
        <is>
          <t>money, to 0.01</t>
        </is>
      </c>
    </row>
    <row r="72">
      <c r="A72" t="inlineStr">
        <is>
          <t>Y3 cash available = cash carried in + free cash flow</t>
        </is>
      </c>
      <c r="B72" t="inlineStr">
        <is>
          <t>avail_3</t>
        </is>
      </c>
      <c r="C72" s="4">
        <f>$C$66+$C$71</f>
        <v/>
      </c>
      <c r="D72" s="4" t="n">
        <v>55.9171875</v>
      </c>
      <c r="E72" t="inlineStr">
        <is>
          <t>debt_schedule.available_for_sweep.2</t>
        </is>
      </c>
      <c r="F72" t="inlineStr">
        <is>
          <t>money, to 0.01</t>
        </is>
      </c>
    </row>
    <row r="73">
      <c r="A73" t="inlineStr">
        <is>
          <t>Y3 sweep = half the cash available</t>
        </is>
      </c>
      <c r="B73" t="inlineStr">
        <is>
          <t>sweep_3</t>
        </is>
      </c>
      <c r="C73" s="4">
        <f>MIN($C$72*$C$20,$C$65)</f>
        <v/>
      </c>
      <c r="D73" s="4" t="n">
        <v>27.95859375</v>
      </c>
      <c r="E73" t="inlineStr">
        <is>
          <t>tranches.Unitranche.2.cash_sweep</t>
        </is>
      </c>
      <c r="F73" t="inlineStr">
        <is>
          <t>money, to 0.01</t>
        </is>
      </c>
    </row>
    <row r="74">
      <c r="A74" t="inlineStr">
        <is>
          <t>Y3 closing balance</t>
        </is>
      </c>
      <c r="B74" t="inlineStr">
        <is>
          <t>bal_3</t>
        </is>
      </c>
      <c r="C74" s="4">
        <f>$C$65-$C$73</f>
        <v/>
      </c>
      <c r="D74" s="4" t="n">
        <v>333.97890625</v>
      </c>
      <c r="E74" t="inlineStr">
        <is>
          <t>tranches.Unitranche.2.ending_balance</t>
        </is>
      </c>
      <c r="F74" t="inlineStr">
        <is>
          <t>money, to 0.01</t>
        </is>
      </c>
    </row>
    <row r="75">
      <c r="A75" t="inlineStr">
        <is>
          <t>Y3 closing cash = the half not swept</t>
        </is>
      </c>
      <c r="B75" t="inlineStr">
        <is>
          <t>cash_3</t>
        </is>
      </c>
      <c r="C75" s="4">
        <f>$C$72-$C$73</f>
        <v/>
      </c>
      <c r="D75" s="4" t="n">
        <v>27.95859375</v>
      </c>
      <c r="E75" t="inlineStr">
        <is>
          <t>debt_schedule.cash_balance.2</t>
        </is>
      </c>
      <c r="F75" t="inlineStr">
        <is>
          <t>money, to 0.01</t>
        </is>
      </c>
    </row>
    <row r="76">
      <c r="A76" t="inlineStr">
        <is>
          <t>Net debt at exit (debt - cash + lease liability)</t>
        </is>
      </c>
      <c r="B76" t="inlineStr">
        <is>
          <t>net_debt_exit</t>
        </is>
      </c>
      <c r="C76" s="4">
        <f>$C$74-$C$75</f>
        <v/>
      </c>
      <c r="D76" s="4" t="n">
        <v>306.0203125</v>
      </c>
      <c r="E76" t="inlineStr">
        <is>
          <t>returns.net_debt_at_exit</t>
        </is>
      </c>
      <c r="F76" t="inlineStr">
        <is>
          <t>money, to 0.01</t>
        </is>
      </c>
    </row>
    <row r="77">
      <c r="A77" t="inlineStr">
        <is>
          <t>Exit EV = (final-year EBITDA + lease add-back) x exit multiple</t>
        </is>
      </c>
      <c r="B77" t="inlineStr">
        <is>
          <t>exit_ev</t>
        </is>
      </c>
      <c r="C77" s="4">
        <f>($C$44+0)*$C$15</f>
        <v/>
      </c>
      <c r="D77" s="4" t="n">
        <v>800</v>
      </c>
      <c r="E77" t="inlineStr">
        <is>
          <t>returns.exit_ev</t>
        </is>
      </c>
      <c r="F77" t="inlineStr">
        <is>
          <t>money, to 0.01</t>
        </is>
      </c>
    </row>
    <row r="78">
      <c r="A78" t="inlineStr">
        <is>
          <t>Exit equity = exit EV - net debt</t>
        </is>
      </c>
      <c r="B78" t="inlineStr">
        <is>
          <t>exit_equity</t>
        </is>
      </c>
      <c r="C78" s="4">
        <f>$C$77-$C$76</f>
        <v/>
      </c>
      <c r="D78" s="4" t="n">
        <v>493.9796875</v>
      </c>
      <c r="E78" t="inlineStr">
        <is>
          <t>returns.net_exit_equity</t>
        </is>
      </c>
      <c r="F78" t="inlineStr">
        <is>
          <t>money, to 0.01</t>
        </is>
      </c>
    </row>
    <row r="79">
      <c r="A79" t="inlineStr">
        <is>
          <t>MOIC = exit equity / entry equity</t>
        </is>
      </c>
      <c r="B79" t="inlineStr">
        <is>
          <t>moic</t>
        </is>
      </c>
      <c r="C79" s="5">
        <f>$C$78/$C$27</f>
        <v/>
      </c>
      <c r="D79" s="5" t="n">
        <v>1.23494921875</v>
      </c>
      <c r="E79" t="inlineStr">
        <is>
          <t>returns.moic</t>
        </is>
      </c>
      <c r="F79" t="inlineStr">
        <is>
          <t>multiple, to 0.01</t>
        </is>
      </c>
    </row>
    <row r="80">
      <c r="A80" t="inlineStr">
        <is>
          <t>IRR = MOIC ^ (1 / years) - 1</t>
        </is>
      </c>
      <c r="B80" t="inlineStr">
        <is>
          <t>irr</t>
        </is>
      </c>
      <c r="C80" s="6">
        <f>$C$79^(1/$C$16)-1</f>
        <v/>
      </c>
      <c r="D80" s="6" t="n">
        <v>0.07287641892989605</v>
      </c>
      <c r="E80" t="inlineStr">
        <is>
          <t>returns.irr</t>
        </is>
      </c>
      <c r="F80" t="inlineStr">
        <is>
          <t>per cent, to 0.01</t>
        </is>
      </c>
    </row>
    <row r="82">
      <c r="A82" s="3" t="inlineStr">
        <is>
          <t>Headline answers, typed by hand</t>
        </is>
      </c>
    </row>
    <row r="83">
      <c r="A83" t="inlineStr">
        <is>
          <t>Sponsor equity = EV + costs + minimum cash - debt - lease liability</t>
        </is>
      </c>
      <c r="B83" t="inlineStr">
        <is>
          <t>equity</t>
        </is>
      </c>
      <c r="D83" s="4" t="n">
        <v>400</v>
      </c>
    </row>
    <row r="84">
      <c r="A84" t="inlineStr">
        <is>
          <t>Exit equity = exit EV - net debt</t>
        </is>
      </c>
      <c r="B84" t="inlineStr">
        <is>
          <t>exit_equity</t>
        </is>
      </c>
      <c r="D84" s="4" t="n">
        <v>493.9796875</v>
      </c>
    </row>
  </sheetData>
  <mergeCells count="1">
    <mergeCell ref="A3:F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12. Two tranches in sweep order</t>
        </is>
      </c>
    </row>
    <row r="2">
      <c r="A2" t="inlineStr">
        <is>
          <t>Covers: single tranche</t>
        </is>
      </c>
    </row>
    <row r="3" ht="90" customHeight="1">
      <c r="A3" s="2" t="inlineStr">
        <is>
          <t>A 50 term loan B at 8% swept first and a 350 second lien at 10% swept second. Year 1's 30.75 all goes to the term loan (19.25 left); year 2's 32.595 repays the last 19.25 and sends 13.345 to the second lien; year 3's 34.75 all goes to the second lien.</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ra</t>
        </is>
      </c>
      <c r="B17" t="inlineStr">
        <is>
          <t>ra</t>
        </is>
      </c>
      <c r="C17" t="n">
        <v>0.08</v>
      </c>
    </row>
    <row r="18">
      <c r="A18" t="inlineStr">
        <is>
          <t>rb</t>
        </is>
      </c>
      <c r="B18" t="inlineStr">
        <is>
          <t>rb</t>
        </is>
      </c>
      <c r="C18" t="n">
        <v>0.1</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Term loan B at close</t>
        </is>
      </c>
      <c r="B22" t="inlineStr">
        <is>
          <t>a_0</t>
        </is>
      </c>
      <c r="C22" s="4">
        <f>50</f>
        <v/>
      </c>
      <c r="D22" s="4" t="n">
        <v>50</v>
      </c>
    </row>
    <row r="23">
      <c r="A23" t="inlineStr">
        <is>
          <t>Second lien at close</t>
        </is>
      </c>
      <c r="B23" t="inlineStr">
        <is>
          <t>b_0</t>
        </is>
      </c>
      <c r="C23" s="4">
        <f>350</f>
        <v/>
      </c>
      <c r="D23" s="4" t="n">
        <v>350</v>
      </c>
    </row>
    <row r="24">
      <c r="A24" t="inlineStr">
        <is>
          <t>Entry EV = (EBITDA + lease add-back) x entry multiple</t>
        </is>
      </c>
      <c r="B24" t="inlineStr">
        <is>
          <t>ev</t>
        </is>
      </c>
      <c r="C24" s="4">
        <f>($C$21+0)*$C$14</f>
        <v/>
      </c>
      <c r="D24" s="4" t="n">
        <v>800</v>
      </c>
    </row>
    <row r="25">
      <c r="A25" t="inlineStr">
        <is>
          <t>Debt drawn at close</t>
        </is>
      </c>
      <c r="B25" t="inlineStr">
        <is>
          <t>debt</t>
        </is>
      </c>
      <c r="C25" s="4">
        <f>$C$22+$C$23</f>
        <v/>
      </c>
      <c r="D25" s="4" t="n">
        <v>400</v>
      </c>
    </row>
    <row r="26">
      <c r="A26" t="inlineStr">
        <is>
          <t>Entry costs (fees and other uses)</t>
        </is>
      </c>
      <c r="B26" t="inlineStr">
        <is>
          <t>costs</t>
        </is>
      </c>
      <c r="C26" s="4">
        <f>0</f>
        <v/>
      </c>
      <c r="D26" s="4" t="n">
        <v>0</v>
      </c>
    </row>
    <row r="27">
      <c r="A27" t="inlineStr">
        <is>
          <t>Sponsor equity = EV + costs + minimum cash - debt - lease liability</t>
        </is>
      </c>
      <c r="B27" t="inlineStr">
        <is>
          <t>equity</t>
        </is>
      </c>
      <c r="C27" s="4">
        <f>$C$24+$C$26+0-$C$25-0</f>
        <v/>
      </c>
      <c r="D27" s="4" t="n">
        <v>400</v>
      </c>
      <c r="E27" t="inlineStr">
        <is>
          <t>returns.entry_equity</t>
        </is>
      </c>
      <c r="F27" t="inlineStr">
        <is>
          <t>money, to 0.01</t>
        </is>
      </c>
    </row>
    <row r="28">
      <c r="A28" t="inlineStr">
        <is>
          <t>Base revenue = EBITDA / (gross margin - opex + D&amp;A)</t>
        </is>
      </c>
      <c r="B28" t="inlineStr">
        <is>
          <t>rev_0</t>
        </is>
      </c>
      <c r="C28" s="4">
        <f>$C$6/($C$7-$C$8+$C$9)</f>
        <v/>
      </c>
      <c r="D28" s="4" t="n">
        <v>400</v>
      </c>
    </row>
    <row r="29">
      <c r="A29" t="inlineStr">
        <is>
          <t>Y1 revenue</t>
        </is>
      </c>
      <c r="B29" t="inlineStr">
        <is>
          <t>rev_1</t>
        </is>
      </c>
      <c r="C29" s="4">
        <f>$C$28*(1+$C$10)</f>
        <v/>
      </c>
      <c r="D29" s="4" t="n">
        <v>400</v>
      </c>
      <c r="E29" t="inlineStr">
        <is>
          <t>operating_model.revenue.0</t>
        </is>
      </c>
      <c r="F29" t="inlineStr">
        <is>
          <t>money, to 0.01</t>
        </is>
      </c>
    </row>
    <row r="30">
      <c r="A30" t="inlineStr">
        <is>
          <t>Y1 EBIT = revenue x (gross margin - opex)</t>
        </is>
      </c>
      <c r="B30" t="inlineStr">
        <is>
          <t>ebit_1</t>
        </is>
      </c>
      <c r="C30" s="4">
        <f>$C$29*($C$7-$C$8)</f>
        <v/>
      </c>
      <c r="D30" s="4" t="n">
        <v>80</v>
      </c>
      <c r="E30" t="inlineStr">
        <is>
          <t>operating_model.ebit.0</t>
        </is>
      </c>
      <c r="F30" t="inlineStr">
        <is>
          <t>money, to 0.01</t>
        </is>
      </c>
    </row>
    <row r="31">
      <c r="A31" t="inlineStr">
        <is>
          <t>Y1 D&amp;A</t>
        </is>
      </c>
      <c r="B31" t="inlineStr">
        <is>
          <t>da_1</t>
        </is>
      </c>
      <c r="C31" s="4">
        <f>$C$29*$C$9</f>
        <v/>
      </c>
      <c r="D31" s="4" t="n">
        <v>20</v>
      </c>
      <c r="E31" t="inlineStr">
        <is>
          <t>operating_model.da.0</t>
        </is>
      </c>
      <c r="F31" t="inlineStr">
        <is>
          <t>money, to 0.01</t>
        </is>
      </c>
    </row>
    <row r="32">
      <c r="A32" t="inlineStr">
        <is>
          <t>Y1 EBITDA</t>
        </is>
      </c>
      <c r="B32" t="inlineStr">
        <is>
          <t>ebitda_1</t>
        </is>
      </c>
      <c r="C32" s="4">
        <f>$C$30+$C$31</f>
        <v/>
      </c>
      <c r="D32" s="4" t="n">
        <v>100</v>
      </c>
      <c r="E32" t="inlineStr">
        <is>
          <t>operating_model.ebitda.0</t>
        </is>
      </c>
      <c r="F32" t="inlineStr">
        <is>
          <t>money, to 0.01</t>
        </is>
      </c>
    </row>
    <row r="33">
      <c r="A33" t="inlineStr">
        <is>
          <t>Y1 capex</t>
        </is>
      </c>
      <c r="B33" t="inlineStr">
        <is>
          <t>capex_1</t>
        </is>
      </c>
      <c r="C33" s="4">
        <f>$C$29*$C$11</f>
        <v/>
      </c>
      <c r="D33" s="4" t="n">
        <v>20</v>
      </c>
      <c r="E33" t="inlineStr">
        <is>
          <t>cash_flow.capex.0</t>
        </is>
      </c>
      <c r="F33" t="inlineStr">
        <is>
          <t>money, to 0.01</t>
        </is>
      </c>
    </row>
    <row r="34">
      <c r="A34" t="inlineStr">
        <is>
          <t>Y1 change in working capital</t>
        </is>
      </c>
      <c r="B34" t="inlineStr">
        <is>
          <t>dnwc_1</t>
        </is>
      </c>
      <c r="C34" s="4">
        <f>$C$29*$C$12</f>
        <v/>
      </c>
      <c r="D34" s="4" t="n">
        <v>0</v>
      </c>
      <c r="E34" t="inlineStr">
        <is>
          <t>cash_flow.delta_nwc.0</t>
        </is>
      </c>
      <c r="F34" t="inlineStr">
        <is>
          <t>money, to 0.01</t>
        </is>
      </c>
    </row>
    <row r="35">
      <c r="A35" t="inlineStr">
        <is>
          <t>Y2 revenue</t>
        </is>
      </c>
      <c r="B35" t="inlineStr">
        <is>
          <t>rev_2</t>
        </is>
      </c>
      <c r="C35" s="4">
        <f>$C$29*(1+$C$10)</f>
        <v/>
      </c>
      <c r="D35" s="4" t="n">
        <v>400</v>
      </c>
      <c r="E35" t="inlineStr">
        <is>
          <t>operating_model.revenue.1</t>
        </is>
      </c>
      <c r="F35" t="inlineStr">
        <is>
          <t>money, to 0.01</t>
        </is>
      </c>
    </row>
    <row r="36">
      <c r="A36" t="inlineStr">
        <is>
          <t>Y2 EBIT = revenue x (gross margin - opex)</t>
        </is>
      </c>
      <c r="B36" t="inlineStr">
        <is>
          <t>ebit_2</t>
        </is>
      </c>
      <c r="C36" s="4">
        <f>$C$35*($C$7-$C$8)</f>
        <v/>
      </c>
      <c r="D36" s="4" t="n">
        <v>80</v>
      </c>
      <c r="E36" t="inlineStr">
        <is>
          <t>operating_model.ebit.1</t>
        </is>
      </c>
      <c r="F36" t="inlineStr">
        <is>
          <t>money, to 0.01</t>
        </is>
      </c>
    </row>
    <row r="37">
      <c r="A37" t="inlineStr">
        <is>
          <t>Y2 D&amp;A</t>
        </is>
      </c>
      <c r="B37" t="inlineStr">
        <is>
          <t>da_2</t>
        </is>
      </c>
      <c r="C37" s="4">
        <f>$C$35*$C$9</f>
        <v/>
      </c>
      <c r="D37" s="4" t="n">
        <v>20</v>
      </c>
      <c r="E37" t="inlineStr">
        <is>
          <t>operating_model.da.1</t>
        </is>
      </c>
      <c r="F37" t="inlineStr">
        <is>
          <t>money, to 0.01</t>
        </is>
      </c>
    </row>
    <row r="38">
      <c r="A38" t="inlineStr">
        <is>
          <t>Y2 EBITDA</t>
        </is>
      </c>
      <c r="B38" t="inlineStr">
        <is>
          <t>ebitda_2</t>
        </is>
      </c>
      <c r="C38" s="4">
        <f>$C$36+$C$37</f>
        <v/>
      </c>
      <c r="D38" s="4" t="n">
        <v>100</v>
      </c>
      <c r="E38" t="inlineStr">
        <is>
          <t>operating_model.ebitda.1</t>
        </is>
      </c>
      <c r="F38" t="inlineStr">
        <is>
          <t>money, to 0.01</t>
        </is>
      </c>
    </row>
    <row r="39">
      <c r="A39" t="inlineStr">
        <is>
          <t>Y2 capex</t>
        </is>
      </c>
      <c r="B39" t="inlineStr">
        <is>
          <t>capex_2</t>
        </is>
      </c>
      <c r="C39" s="4">
        <f>$C$35*$C$11</f>
        <v/>
      </c>
      <c r="D39" s="4" t="n">
        <v>20</v>
      </c>
      <c r="E39" t="inlineStr">
        <is>
          <t>cash_flow.capex.1</t>
        </is>
      </c>
      <c r="F39" t="inlineStr">
        <is>
          <t>money, to 0.01</t>
        </is>
      </c>
    </row>
    <row r="40">
      <c r="A40" t="inlineStr">
        <is>
          <t>Y2 change in working capital</t>
        </is>
      </c>
      <c r="B40" t="inlineStr">
        <is>
          <t>dnwc_2</t>
        </is>
      </c>
      <c r="C40" s="4">
        <f>$C$35*$C$12</f>
        <v/>
      </c>
      <c r="D40" s="4" t="n">
        <v>0</v>
      </c>
      <c r="E40" t="inlineStr">
        <is>
          <t>cash_flow.delta_nwc.1</t>
        </is>
      </c>
      <c r="F40" t="inlineStr">
        <is>
          <t>money, to 0.01</t>
        </is>
      </c>
    </row>
    <row r="41">
      <c r="A41" t="inlineStr">
        <is>
          <t>Y3 revenue</t>
        </is>
      </c>
      <c r="B41" t="inlineStr">
        <is>
          <t>rev_3</t>
        </is>
      </c>
      <c r="C41" s="4">
        <f>$C$35*(1+$C$10)</f>
        <v/>
      </c>
      <c r="D41" s="4" t="n">
        <v>400</v>
      </c>
      <c r="E41" t="inlineStr">
        <is>
          <t>operating_model.revenue.2</t>
        </is>
      </c>
      <c r="F41" t="inlineStr">
        <is>
          <t>money, to 0.01</t>
        </is>
      </c>
    </row>
    <row r="42">
      <c r="A42" t="inlineStr">
        <is>
          <t>Y3 EBIT = revenue x (gross margin - opex)</t>
        </is>
      </c>
      <c r="B42" t="inlineStr">
        <is>
          <t>ebit_3</t>
        </is>
      </c>
      <c r="C42" s="4">
        <f>$C$41*($C$7-$C$8)</f>
        <v/>
      </c>
      <c r="D42" s="4" t="n">
        <v>80</v>
      </c>
      <c r="E42" t="inlineStr">
        <is>
          <t>operating_model.ebit.2</t>
        </is>
      </c>
      <c r="F42" t="inlineStr">
        <is>
          <t>money, to 0.01</t>
        </is>
      </c>
    </row>
    <row r="43">
      <c r="A43" t="inlineStr">
        <is>
          <t>Y3 D&amp;A</t>
        </is>
      </c>
      <c r="B43" t="inlineStr">
        <is>
          <t>da_3</t>
        </is>
      </c>
      <c r="C43" s="4">
        <f>$C$41*$C$9</f>
        <v/>
      </c>
      <c r="D43" s="4" t="n">
        <v>20</v>
      </c>
      <c r="E43" t="inlineStr">
        <is>
          <t>operating_model.da.2</t>
        </is>
      </c>
      <c r="F43" t="inlineStr">
        <is>
          <t>money, to 0.01</t>
        </is>
      </c>
    </row>
    <row r="44">
      <c r="A44" t="inlineStr">
        <is>
          <t>Y3 EBITDA</t>
        </is>
      </c>
      <c r="B44" t="inlineStr">
        <is>
          <t>ebitda_3</t>
        </is>
      </c>
      <c r="C44" s="4">
        <f>$C$42+$C$43</f>
        <v/>
      </c>
      <c r="D44" s="4" t="n">
        <v>100</v>
      </c>
      <c r="E44" t="inlineStr">
        <is>
          <t>operating_model.ebitda.2</t>
        </is>
      </c>
      <c r="F44" t="inlineStr">
        <is>
          <t>money, to 0.01</t>
        </is>
      </c>
    </row>
    <row r="45">
      <c r="A45" t="inlineStr">
        <is>
          <t>Y3 capex</t>
        </is>
      </c>
      <c r="B45" t="inlineStr">
        <is>
          <t>capex_3</t>
        </is>
      </c>
      <c r="C45" s="4">
        <f>$C$41*$C$11</f>
        <v/>
      </c>
      <c r="D45" s="4" t="n">
        <v>20</v>
      </c>
      <c r="E45" t="inlineStr">
        <is>
          <t>cash_flow.capex.2</t>
        </is>
      </c>
      <c r="F45" t="inlineStr">
        <is>
          <t>money, to 0.01</t>
        </is>
      </c>
    </row>
    <row r="46">
      <c r="A46" t="inlineStr">
        <is>
          <t>Y3 change in working capital</t>
        </is>
      </c>
      <c r="B46" t="inlineStr">
        <is>
          <t>dnwc_3</t>
        </is>
      </c>
      <c r="C46" s="4">
        <f>$C$41*$C$12</f>
        <v/>
      </c>
      <c r="D46" s="4" t="n">
        <v>0</v>
      </c>
      <c r="E46" t="inlineStr">
        <is>
          <t>cash_flow.delta_nwc.2</t>
        </is>
      </c>
      <c r="F46" t="inlineStr">
        <is>
          <t>money, to 0.01</t>
        </is>
      </c>
    </row>
    <row r="47">
      <c r="A47" t="inlineStr">
        <is>
          <t>Y1 interest expense</t>
        </is>
      </c>
      <c r="B47" t="inlineStr">
        <is>
          <t>int_1</t>
        </is>
      </c>
      <c r="C47" s="4">
        <f>$C$22*$C$17+$C$23*$C$18</f>
        <v/>
      </c>
      <c r="D47" s="4" t="n">
        <v>39</v>
      </c>
      <c r="E47" t="inlineStr">
        <is>
          <t>operating_model.interest_expense.0</t>
        </is>
      </c>
      <c r="F47" t="inlineStr">
        <is>
          <t>money, to 0.01</t>
        </is>
      </c>
    </row>
    <row r="48">
      <c r="A48" t="inlineStr">
        <is>
          <t>Y1 profit before tax = EBIT - interest + interest income</t>
        </is>
      </c>
      <c r="B48" t="inlineStr">
        <is>
          <t>ebt_1</t>
        </is>
      </c>
      <c r="C48" s="4">
        <f>$C$30-$C$47+0</f>
        <v/>
      </c>
      <c r="D48" s="4" t="n">
        <v>41</v>
      </c>
      <c r="E48" t="inlineStr">
        <is>
          <t>operating_model.ebt.0</t>
        </is>
      </c>
      <c r="F48" t="inlineStr">
        <is>
          <t>money, to 0.01</t>
        </is>
      </c>
    </row>
    <row r="49">
      <c r="A49" t="inlineStr">
        <is>
          <t>Y1 tax</t>
        </is>
      </c>
      <c r="B49" t="inlineStr">
        <is>
          <t>tax_1</t>
        </is>
      </c>
      <c r="C49" s="4">
        <f>MAX($C$48,0)*$C$13</f>
        <v/>
      </c>
      <c r="D49" s="4" t="n">
        <v>10.25</v>
      </c>
      <c r="E49" t="inlineStr">
        <is>
          <t>operating_model.taxes.0</t>
        </is>
      </c>
      <c r="F49" t="inlineStr">
        <is>
          <t>money, to 0.01</t>
        </is>
      </c>
    </row>
    <row r="50">
      <c r="A50" t="inlineStr">
        <is>
          <t>Y1 net income</t>
        </is>
      </c>
      <c r="B50" t="inlineStr">
        <is>
          <t>ni_1</t>
        </is>
      </c>
      <c r="C50" s="4">
        <f>$C$48-$C$49</f>
        <v/>
      </c>
      <c r="D50" s="4" t="n">
        <v>30.75</v>
      </c>
      <c r="E50" t="inlineStr">
        <is>
          <t>operating_model.net_income.0</t>
        </is>
      </c>
      <c r="F50" t="inlineStr">
        <is>
          <t>money, to 0.01</t>
        </is>
      </c>
    </row>
    <row r="51">
      <c r="A51" t="inlineStr">
        <is>
          <t>Y1 levered free cash flow (before repaying debt)</t>
        </is>
      </c>
      <c r="B51" t="inlineStr">
        <is>
          <t>fcf_1</t>
        </is>
      </c>
      <c r="C51" s="4">
        <f>$C$50+$C$31-$C$33-$C$34</f>
        <v/>
      </c>
      <c r="D51" s="4" t="n">
        <v>30.75</v>
      </c>
      <c r="E51" t="inlineStr">
        <is>
          <t>cash_flow.levered_fcf.0</t>
        </is>
      </c>
      <c r="F51" t="inlineStr">
        <is>
          <t>money, to 0.01</t>
        </is>
      </c>
    </row>
    <row r="52">
      <c r="A52" t="inlineStr">
        <is>
          <t>Y1 term loan B takes the cash first</t>
        </is>
      </c>
      <c r="B52" t="inlineStr">
        <is>
          <t>a_sweep_1</t>
        </is>
      </c>
      <c r="C52" s="4">
        <f>MIN($C$51,$C$22)</f>
        <v/>
      </c>
      <c r="D52" s="4" t="n">
        <v>30.75</v>
      </c>
      <c r="E52" t="inlineStr">
        <is>
          <t>tranches.Term loan B.0.cash_sweep</t>
        </is>
      </c>
      <c r="F52" t="inlineStr">
        <is>
          <t>money, to 0.01</t>
        </is>
      </c>
    </row>
    <row r="53">
      <c r="A53" t="inlineStr">
        <is>
          <t>Y1 second lien takes what is left</t>
        </is>
      </c>
      <c r="B53" t="inlineStr">
        <is>
          <t>b_sweep_1</t>
        </is>
      </c>
      <c r="C53" s="4">
        <f>MIN($C$51-$C$52,$C$23)</f>
        <v/>
      </c>
      <c r="D53" s="4" t="n">
        <v>0</v>
      </c>
      <c r="E53" t="inlineStr">
        <is>
          <t>tranches.Second lien.0.cash_sweep</t>
        </is>
      </c>
      <c r="F53" t="inlineStr">
        <is>
          <t>money, to 0.01</t>
        </is>
      </c>
    </row>
    <row r="54">
      <c r="A54" t="inlineStr">
        <is>
          <t>Y1 term loan B closing</t>
        </is>
      </c>
      <c r="B54" t="inlineStr">
        <is>
          <t>a_1</t>
        </is>
      </c>
      <c r="C54" s="4">
        <f>$C$22-$C$52</f>
        <v/>
      </c>
      <c r="D54" s="4" t="n">
        <v>19.25</v>
      </c>
      <c r="E54" t="inlineStr">
        <is>
          <t>tranches.Term loan B.0.ending_balance</t>
        </is>
      </c>
      <c r="F54" t="inlineStr">
        <is>
          <t>money, to 0.01</t>
        </is>
      </c>
    </row>
    <row r="55">
      <c r="A55" t="inlineStr">
        <is>
          <t>Y1 second lien closing</t>
        </is>
      </c>
      <c r="B55" t="inlineStr">
        <is>
          <t>b_1</t>
        </is>
      </c>
      <c r="C55" s="4">
        <f>$C$23-$C$53</f>
        <v/>
      </c>
      <c r="D55" s="4" t="n">
        <v>350</v>
      </c>
      <c r="E55" t="inlineStr">
        <is>
          <t>tranches.Second lien.0.ending_balance</t>
        </is>
      </c>
      <c r="F55" t="inlineStr">
        <is>
          <t>money, to 0.01</t>
        </is>
      </c>
    </row>
    <row r="56">
      <c r="A56" t="inlineStr">
        <is>
          <t>Y2 interest expense</t>
        </is>
      </c>
      <c r="B56" t="inlineStr">
        <is>
          <t>int_2</t>
        </is>
      </c>
      <c r="C56" s="4">
        <f>$C$54*$C$17+$C$55*$C$18</f>
        <v/>
      </c>
      <c r="D56" s="4" t="n">
        <v>36.54</v>
      </c>
      <c r="E56" t="inlineStr">
        <is>
          <t>operating_model.interest_expense.1</t>
        </is>
      </c>
      <c r="F56" t="inlineStr">
        <is>
          <t>money, to 0.01</t>
        </is>
      </c>
    </row>
    <row r="57">
      <c r="A57" t="inlineStr">
        <is>
          <t>Y2 profit before tax = EBIT - interest + interest income</t>
        </is>
      </c>
      <c r="B57" t="inlineStr">
        <is>
          <t>ebt_2</t>
        </is>
      </c>
      <c r="C57" s="4">
        <f>$C$36-$C$56+0</f>
        <v/>
      </c>
      <c r="D57" s="4" t="n">
        <v>43.46</v>
      </c>
      <c r="E57" t="inlineStr">
        <is>
          <t>operating_model.ebt.1</t>
        </is>
      </c>
      <c r="F57" t="inlineStr">
        <is>
          <t>money, to 0.01</t>
        </is>
      </c>
    </row>
    <row r="58">
      <c r="A58" t="inlineStr">
        <is>
          <t>Y2 tax</t>
        </is>
      </c>
      <c r="B58" t="inlineStr">
        <is>
          <t>tax_2</t>
        </is>
      </c>
      <c r="C58" s="4">
        <f>MAX($C$57,0)*$C$13</f>
        <v/>
      </c>
      <c r="D58" s="4" t="n">
        <v>10.865</v>
      </c>
      <c r="E58" t="inlineStr">
        <is>
          <t>operating_model.taxes.1</t>
        </is>
      </c>
      <c r="F58" t="inlineStr">
        <is>
          <t>money, to 0.01</t>
        </is>
      </c>
    </row>
    <row r="59">
      <c r="A59" t="inlineStr">
        <is>
          <t>Y2 net income</t>
        </is>
      </c>
      <c r="B59" t="inlineStr">
        <is>
          <t>ni_2</t>
        </is>
      </c>
      <c r="C59" s="4">
        <f>$C$57-$C$58</f>
        <v/>
      </c>
      <c r="D59" s="4" t="n">
        <v>32.595</v>
      </c>
      <c r="E59" t="inlineStr">
        <is>
          <t>operating_model.net_income.1</t>
        </is>
      </c>
      <c r="F59" t="inlineStr">
        <is>
          <t>money, to 0.01</t>
        </is>
      </c>
    </row>
    <row r="60">
      <c r="A60" t="inlineStr">
        <is>
          <t>Y2 levered free cash flow (before repaying debt)</t>
        </is>
      </c>
      <c r="B60" t="inlineStr">
        <is>
          <t>fcf_2</t>
        </is>
      </c>
      <c r="C60" s="4">
        <f>$C$59+$C$37-$C$39-$C$40</f>
        <v/>
      </c>
      <c r="D60" s="4" t="n">
        <v>32.595</v>
      </c>
      <c r="E60" t="inlineStr">
        <is>
          <t>cash_flow.levered_fcf.1</t>
        </is>
      </c>
      <c r="F60" t="inlineStr">
        <is>
          <t>money, to 0.01</t>
        </is>
      </c>
    </row>
    <row r="61">
      <c r="A61" t="inlineStr">
        <is>
          <t>Y2 term loan B takes the cash first</t>
        </is>
      </c>
      <c r="B61" t="inlineStr">
        <is>
          <t>a_sweep_2</t>
        </is>
      </c>
      <c r="C61" s="4">
        <f>MIN($C$60,$C$54)</f>
        <v/>
      </c>
      <c r="D61" s="4" t="n">
        <v>19.25</v>
      </c>
      <c r="E61" t="inlineStr">
        <is>
          <t>tranches.Term loan B.1.cash_sweep</t>
        </is>
      </c>
      <c r="F61" t="inlineStr">
        <is>
          <t>money, to 0.01</t>
        </is>
      </c>
    </row>
    <row r="62">
      <c r="A62" t="inlineStr">
        <is>
          <t>Y2 second lien takes what is left</t>
        </is>
      </c>
      <c r="B62" t="inlineStr">
        <is>
          <t>b_sweep_2</t>
        </is>
      </c>
      <c r="C62" s="4">
        <f>MIN($C$60-$C$61,$C$55)</f>
        <v/>
      </c>
      <c r="D62" s="4" t="n">
        <v>13.345</v>
      </c>
      <c r="E62" t="inlineStr">
        <is>
          <t>tranches.Second lien.1.cash_sweep</t>
        </is>
      </c>
      <c r="F62" t="inlineStr">
        <is>
          <t>money, to 0.01</t>
        </is>
      </c>
    </row>
    <row r="63">
      <c r="A63" t="inlineStr">
        <is>
          <t>Y2 term loan B closing</t>
        </is>
      </c>
      <c r="B63" t="inlineStr">
        <is>
          <t>a_2</t>
        </is>
      </c>
      <c r="C63" s="4">
        <f>$C$54-$C$61</f>
        <v/>
      </c>
      <c r="D63" s="4" t="n">
        <v>0</v>
      </c>
      <c r="E63" t="inlineStr">
        <is>
          <t>tranches.Term loan B.1.ending_balance</t>
        </is>
      </c>
      <c r="F63" t="inlineStr">
        <is>
          <t>money, to 0.01</t>
        </is>
      </c>
    </row>
    <row r="64">
      <c r="A64" t="inlineStr">
        <is>
          <t>Y2 second lien closing</t>
        </is>
      </c>
      <c r="B64" t="inlineStr">
        <is>
          <t>b_2</t>
        </is>
      </c>
      <c r="C64" s="4">
        <f>$C$55-$C$62</f>
        <v/>
      </c>
      <c r="D64" s="4" t="n">
        <v>336.655</v>
      </c>
      <c r="E64" t="inlineStr">
        <is>
          <t>tranches.Second lien.1.ending_balance</t>
        </is>
      </c>
      <c r="F64" t="inlineStr">
        <is>
          <t>money, to 0.01</t>
        </is>
      </c>
    </row>
    <row r="65">
      <c r="A65" t="inlineStr">
        <is>
          <t>Y3 interest expense</t>
        </is>
      </c>
      <c r="B65" t="inlineStr">
        <is>
          <t>int_3</t>
        </is>
      </c>
      <c r="C65" s="4">
        <f>$C$63*$C$17+$C$64*$C$18</f>
        <v/>
      </c>
      <c r="D65" s="4" t="n">
        <v>33.6655</v>
      </c>
      <c r="E65" t="inlineStr">
        <is>
          <t>operating_model.interest_expense.2</t>
        </is>
      </c>
      <c r="F65" t="inlineStr">
        <is>
          <t>money, to 0.01</t>
        </is>
      </c>
    </row>
    <row r="66">
      <c r="A66" t="inlineStr">
        <is>
          <t>Y3 profit before tax = EBIT - interest + interest income</t>
        </is>
      </c>
      <c r="B66" t="inlineStr">
        <is>
          <t>ebt_3</t>
        </is>
      </c>
      <c r="C66" s="4">
        <f>$C$42-$C$65+0</f>
        <v/>
      </c>
      <c r="D66" s="4" t="n">
        <v>46.3345</v>
      </c>
      <c r="E66" t="inlineStr">
        <is>
          <t>operating_model.ebt.2</t>
        </is>
      </c>
      <c r="F66" t="inlineStr">
        <is>
          <t>money, to 0.01</t>
        </is>
      </c>
    </row>
    <row r="67">
      <c r="A67" t="inlineStr">
        <is>
          <t>Y3 tax</t>
        </is>
      </c>
      <c r="B67" t="inlineStr">
        <is>
          <t>tax_3</t>
        </is>
      </c>
      <c r="C67" s="4">
        <f>MAX($C$66,0)*$C$13</f>
        <v/>
      </c>
      <c r="D67" s="4" t="n">
        <v>11.583625</v>
      </c>
      <c r="E67" t="inlineStr">
        <is>
          <t>operating_model.taxes.2</t>
        </is>
      </c>
      <c r="F67" t="inlineStr">
        <is>
          <t>money, to 0.01</t>
        </is>
      </c>
    </row>
    <row r="68">
      <c r="A68" t="inlineStr">
        <is>
          <t>Y3 net income</t>
        </is>
      </c>
      <c r="B68" t="inlineStr">
        <is>
          <t>ni_3</t>
        </is>
      </c>
      <c r="C68" s="4">
        <f>$C$66-$C$67</f>
        <v/>
      </c>
      <c r="D68" s="4" t="n">
        <v>34.750875</v>
      </c>
      <c r="E68" t="inlineStr">
        <is>
          <t>operating_model.net_income.2</t>
        </is>
      </c>
      <c r="F68" t="inlineStr">
        <is>
          <t>money, to 0.01</t>
        </is>
      </c>
    </row>
    <row r="69">
      <c r="A69" t="inlineStr">
        <is>
          <t>Y3 levered free cash flow (before repaying debt)</t>
        </is>
      </c>
      <c r="B69" t="inlineStr">
        <is>
          <t>fcf_3</t>
        </is>
      </c>
      <c r="C69" s="4">
        <f>$C$68+$C$43-$C$45-$C$46</f>
        <v/>
      </c>
      <c r="D69" s="4" t="n">
        <v>34.750875</v>
      </c>
      <c r="E69" t="inlineStr">
        <is>
          <t>cash_flow.levered_fcf.2</t>
        </is>
      </c>
      <c r="F69" t="inlineStr">
        <is>
          <t>money, to 0.01</t>
        </is>
      </c>
    </row>
    <row r="70">
      <c r="A70" t="inlineStr">
        <is>
          <t>Y3 term loan B takes the cash first</t>
        </is>
      </c>
      <c r="B70" t="inlineStr">
        <is>
          <t>a_sweep_3</t>
        </is>
      </c>
      <c r="C70" s="4">
        <f>MIN($C$69,$C$63)</f>
        <v/>
      </c>
      <c r="D70" s="4" t="n">
        <v>0</v>
      </c>
      <c r="E70" t="inlineStr">
        <is>
          <t>tranches.Term loan B.2.cash_sweep</t>
        </is>
      </c>
      <c r="F70" t="inlineStr">
        <is>
          <t>money, to 0.01</t>
        </is>
      </c>
    </row>
    <row r="71">
      <c r="A71" t="inlineStr">
        <is>
          <t>Y3 second lien takes what is left</t>
        </is>
      </c>
      <c r="B71" t="inlineStr">
        <is>
          <t>b_sweep_3</t>
        </is>
      </c>
      <c r="C71" s="4">
        <f>MIN($C$69-$C$70,$C$64)</f>
        <v/>
      </c>
      <c r="D71" s="4" t="n">
        <v>34.750875</v>
      </c>
      <c r="E71" t="inlineStr">
        <is>
          <t>tranches.Second lien.2.cash_sweep</t>
        </is>
      </c>
      <c r="F71" t="inlineStr">
        <is>
          <t>money, to 0.01</t>
        </is>
      </c>
    </row>
    <row r="72">
      <c r="A72" t="inlineStr">
        <is>
          <t>Y3 term loan B closing</t>
        </is>
      </c>
      <c r="B72" t="inlineStr">
        <is>
          <t>a_3</t>
        </is>
      </c>
      <c r="C72" s="4">
        <f>$C$63-$C$70</f>
        <v/>
      </c>
      <c r="D72" s="4" t="n">
        <v>0</v>
      </c>
      <c r="E72" t="inlineStr">
        <is>
          <t>tranches.Term loan B.2.ending_balance</t>
        </is>
      </c>
      <c r="F72" t="inlineStr">
        <is>
          <t>money, to 0.01</t>
        </is>
      </c>
    </row>
    <row r="73">
      <c r="A73" t="inlineStr">
        <is>
          <t>Y3 second lien closing</t>
        </is>
      </c>
      <c r="B73" t="inlineStr">
        <is>
          <t>b_3</t>
        </is>
      </c>
      <c r="C73" s="4">
        <f>$C$64-$C$71</f>
        <v/>
      </c>
      <c r="D73" s="4" t="n">
        <v>301.904125</v>
      </c>
      <c r="E73" t="inlineStr">
        <is>
          <t>tranches.Second lien.2.ending_balance</t>
        </is>
      </c>
      <c r="F73" t="inlineStr">
        <is>
          <t>money, to 0.01</t>
        </is>
      </c>
    </row>
    <row r="74">
      <c r="A74" t="inlineStr">
        <is>
          <t>Net debt at exit (debt - cash + lease liability)</t>
        </is>
      </c>
      <c r="B74" t="inlineStr">
        <is>
          <t>net_debt_exit</t>
        </is>
      </c>
      <c r="C74" s="4">
        <f>$C$72+$C$73</f>
        <v/>
      </c>
      <c r="D74" s="4" t="n">
        <v>301.904125</v>
      </c>
      <c r="E74" t="inlineStr">
        <is>
          <t>returns.net_debt_at_exit</t>
        </is>
      </c>
      <c r="F74" t="inlineStr">
        <is>
          <t>money, to 0.01</t>
        </is>
      </c>
    </row>
    <row r="75">
      <c r="A75" t="inlineStr">
        <is>
          <t>Exit EV = (final-year EBITDA + lease add-back) x exit multiple</t>
        </is>
      </c>
      <c r="B75" t="inlineStr">
        <is>
          <t>exit_ev</t>
        </is>
      </c>
      <c r="C75" s="4">
        <f>($C$44+0)*$C$15</f>
        <v/>
      </c>
      <c r="D75" s="4" t="n">
        <v>800</v>
      </c>
      <c r="E75" t="inlineStr">
        <is>
          <t>returns.exit_ev</t>
        </is>
      </c>
      <c r="F75" t="inlineStr">
        <is>
          <t>money, to 0.01</t>
        </is>
      </c>
    </row>
    <row r="76">
      <c r="A76" t="inlineStr">
        <is>
          <t>Exit equity = exit EV - net debt</t>
        </is>
      </c>
      <c r="B76" t="inlineStr">
        <is>
          <t>exit_equity</t>
        </is>
      </c>
      <c r="C76" s="4">
        <f>$C$75-$C$74</f>
        <v/>
      </c>
      <c r="D76" s="4" t="n">
        <v>498.095875</v>
      </c>
      <c r="E76" t="inlineStr">
        <is>
          <t>returns.net_exit_equity</t>
        </is>
      </c>
      <c r="F76" t="inlineStr">
        <is>
          <t>money, to 0.01</t>
        </is>
      </c>
    </row>
    <row r="77">
      <c r="A77" t="inlineStr">
        <is>
          <t>MOIC = exit equity / entry equity</t>
        </is>
      </c>
      <c r="B77" t="inlineStr">
        <is>
          <t>moic</t>
        </is>
      </c>
      <c r="C77" s="5">
        <f>$C$76/$C$27</f>
        <v/>
      </c>
      <c r="D77" s="5" t="n">
        <v>1.2452396875</v>
      </c>
      <c r="E77" t="inlineStr">
        <is>
          <t>returns.moic</t>
        </is>
      </c>
      <c r="F77" t="inlineStr">
        <is>
          <t>multiple, to 0.01</t>
        </is>
      </c>
    </row>
    <row r="78">
      <c r="A78" t="inlineStr">
        <is>
          <t>IRR = MOIC ^ (1 / years) - 1</t>
        </is>
      </c>
      <c r="B78" t="inlineStr">
        <is>
          <t>irr</t>
        </is>
      </c>
      <c r="C78" s="6">
        <f>$C$77^(1/$C$16)-1</f>
        <v/>
      </c>
      <c r="D78" s="6" t="n">
        <v>0.07584816783453663</v>
      </c>
      <c r="E78" t="inlineStr">
        <is>
          <t>returns.irr</t>
        </is>
      </c>
      <c r="F78" t="inlineStr">
        <is>
          <t>per cent, to 0.01</t>
        </is>
      </c>
    </row>
    <row r="80">
      <c r="A80" s="3" t="inlineStr">
        <is>
          <t>Headline answers, typed by hand</t>
        </is>
      </c>
    </row>
    <row r="81">
      <c r="A81" t="inlineStr">
        <is>
          <t>Sponsor equity = EV + costs + minimum cash - debt - lease liability</t>
        </is>
      </c>
      <c r="B81" t="inlineStr">
        <is>
          <t>equity</t>
        </is>
      </c>
      <c r="D81" s="4" t="n">
        <v>400</v>
      </c>
    </row>
    <row r="82">
      <c r="A82" t="inlineStr">
        <is>
          <t>Exit equity = exit EV - net debt</t>
        </is>
      </c>
      <c r="B82" t="inlineStr">
        <is>
          <t>exit_equity</t>
        </is>
      </c>
      <c r="D82" s="4" t="n">
        <v>498.095875</v>
      </c>
    </row>
  </sheetData>
  <mergeCells count="1">
    <mergeCell ref="A3:F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13. Revolver funding a repayment</t>
        </is>
      </c>
    </row>
    <row r="2">
      <c r="A2" t="inlineStr">
        <is>
          <t>Covers: single tranche</t>
        </is>
      </c>
    </row>
    <row r="3" ht="90" customHeight="1">
      <c r="A3" s="2" t="inlineStr">
        <is>
          <t>A 400 term loan at 10% repaying 60 a year, beside an undrawn 100 revolver (5% reference + 3% margin, 1% a year on what is undrawn). Year 1 makes 29.25 of cash against 60 due, so the revolver draws 30.75; year 2 pays 8% on that, a smaller fee on the 69.25 still undrawn, and draws another 27.86. Held two years. Only the drawn part is a source of funds, so the cheque is 400.</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2</v>
      </c>
    </row>
    <row r="17">
      <c r="A17" t="inlineStr">
        <is>
          <t>r</t>
        </is>
      </c>
      <c r="B17" t="inlineStr">
        <is>
          <t>r</t>
        </is>
      </c>
      <c r="C17" t="n">
        <v>0.1</v>
      </c>
    </row>
    <row r="18">
      <c r="A18" t="inlineStr">
        <is>
          <t>amort</t>
        </is>
      </c>
      <c r="B18" t="inlineStr">
        <is>
          <t>amort</t>
        </is>
      </c>
      <c r="C18" t="n">
        <v>0.15</v>
      </c>
    </row>
    <row r="19">
      <c r="A19" t="inlineStr">
        <is>
          <t>commitment</t>
        </is>
      </c>
      <c r="B19" t="inlineStr">
        <is>
          <t>commitment</t>
        </is>
      </c>
      <c r="C19" t="n">
        <v>100</v>
      </c>
    </row>
    <row r="20">
      <c r="A20" t="inlineStr">
        <is>
          <t>fee</t>
        </is>
      </c>
      <c r="B20" t="inlineStr">
        <is>
          <t>fee</t>
        </is>
      </c>
      <c r="C20" t="n">
        <v>0.01</v>
      </c>
    </row>
    <row r="21">
      <c r="A21" t="inlineStr">
        <is>
          <t>rv_rate</t>
        </is>
      </c>
      <c r="B21" t="inlineStr">
        <is>
          <t>rv_rate</t>
        </is>
      </c>
      <c r="C21" t="n">
        <v>0.08</v>
      </c>
    </row>
    <row r="23">
      <c r="A23" s="3" t="inlineStr">
        <is>
          <t>Working</t>
        </is>
      </c>
      <c r="B23" s="3" t="inlineStr">
        <is>
          <t>Name</t>
        </is>
      </c>
      <c r="C23" s="3" t="inlineStr">
        <is>
          <t>Formula</t>
        </is>
      </c>
      <c r="D23" s="3" t="inlineStr">
        <is>
          <t>Comes to</t>
        </is>
      </c>
      <c r="E23" s="3" t="inlineStr">
        <is>
          <t>Engine figure it must match</t>
        </is>
      </c>
      <c r="F23" s="3" t="inlineStr">
        <is>
          <t>Compared as</t>
        </is>
      </c>
    </row>
    <row r="24">
      <c r="A24" t="inlineStr">
        <is>
          <t>Operating EBITDA (what the model grows)</t>
        </is>
      </c>
      <c r="B24" t="inlineStr">
        <is>
          <t>op_ebitda</t>
        </is>
      </c>
      <c r="C24" s="4">
        <f>$C$6</f>
        <v/>
      </c>
      <c r="D24" s="4" t="n">
        <v>100</v>
      </c>
    </row>
    <row r="25">
      <c r="A25" t="inlineStr">
        <is>
          <t>Entry EV = (EBITDA + lease add-back) x entry multiple</t>
        </is>
      </c>
      <c r="B25" t="inlineStr">
        <is>
          <t>ev</t>
        </is>
      </c>
      <c r="C25" s="4">
        <f>($C$24+0)*$C$14</f>
        <v/>
      </c>
      <c r="D25" s="4" t="n">
        <v>800</v>
      </c>
    </row>
    <row r="26">
      <c r="A26" t="inlineStr">
        <is>
          <t>Debt drawn at close</t>
        </is>
      </c>
      <c r="B26" t="inlineStr">
        <is>
          <t>debt</t>
        </is>
      </c>
      <c r="C26" s="4">
        <f>400</f>
        <v/>
      </c>
      <c r="D26" s="4" t="n">
        <v>400</v>
      </c>
    </row>
    <row r="27">
      <c r="A27" t="inlineStr">
        <is>
          <t>Entry costs (fees and other uses)</t>
        </is>
      </c>
      <c r="B27" t="inlineStr">
        <is>
          <t>costs</t>
        </is>
      </c>
      <c r="C27" s="4">
        <f>0</f>
        <v/>
      </c>
      <c r="D27" s="4" t="n">
        <v>0</v>
      </c>
    </row>
    <row r="28">
      <c r="A28" t="inlineStr">
        <is>
          <t>Sponsor equity = EV + costs + minimum cash - debt - lease liability</t>
        </is>
      </c>
      <c r="B28" t="inlineStr">
        <is>
          <t>equity</t>
        </is>
      </c>
      <c r="C28" s="4">
        <f>$C$25+$C$27+0-$C$26-0</f>
        <v/>
      </c>
      <c r="D28" s="4" t="n">
        <v>400</v>
      </c>
      <c r="E28" t="inlineStr">
        <is>
          <t>returns.entry_equity</t>
        </is>
      </c>
      <c r="F28" t="inlineStr">
        <is>
          <t>money, to 0.01</t>
        </is>
      </c>
    </row>
    <row r="29">
      <c r="A29" t="inlineStr">
        <is>
          <t>Base revenue = EBITDA / (gross margin - opex + D&amp;A)</t>
        </is>
      </c>
      <c r="B29" t="inlineStr">
        <is>
          <t>rev_0</t>
        </is>
      </c>
      <c r="C29" s="4">
        <f>$C$6/($C$7-$C$8+$C$9)</f>
        <v/>
      </c>
      <c r="D29" s="4" t="n">
        <v>400</v>
      </c>
    </row>
    <row r="30">
      <c r="A30" t="inlineStr">
        <is>
          <t>Y1 revenue</t>
        </is>
      </c>
      <c r="B30" t="inlineStr">
        <is>
          <t>rev_1</t>
        </is>
      </c>
      <c r="C30" s="4">
        <f>$C$29*(1+$C$10)</f>
        <v/>
      </c>
      <c r="D30" s="4" t="n">
        <v>400</v>
      </c>
      <c r="E30" t="inlineStr">
        <is>
          <t>operating_model.revenue.0</t>
        </is>
      </c>
      <c r="F30" t="inlineStr">
        <is>
          <t>money, to 0.01</t>
        </is>
      </c>
    </row>
    <row r="31">
      <c r="A31" t="inlineStr">
        <is>
          <t>Y1 EBIT = revenue x (gross margin - opex)</t>
        </is>
      </c>
      <c r="B31" t="inlineStr">
        <is>
          <t>ebit_1</t>
        </is>
      </c>
      <c r="C31" s="4">
        <f>$C$30*($C$7-$C$8)</f>
        <v/>
      </c>
      <c r="D31" s="4" t="n">
        <v>80</v>
      </c>
      <c r="E31" t="inlineStr">
        <is>
          <t>operating_model.ebit.0</t>
        </is>
      </c>
      <c r="F31" t="inlineStr">
        <is>
          <t>money, to 0.01</t>
        </is>
      </c>
    </row>
    <row r="32">
      <c r="A32" t="inlineStr">
        <is>
          <t>Y1 D&amp;A</t>
        </is>
      </c>
      <c r="B32" t="inlineStr">
        <is>
          <t>da_1</t>
        </is>
      </c>
      <c r="C32" s="4">
        <f>$C$30*$C$9</f>
        <v/>
      </c>
      <c r="D32" s="4" t="n">
        <v>20</v>
      </c>
      <c r="E32" t="inlineStr">
        <is>
          <t>operating_model.da.0</t>
        </is>
      </c>
      <c r="F32" t="inlineStr">
        <is>
          <t>money, to 0.01</t>
        </is>
      </c>
    </row>
    <row r="33">
      <c r="A33" t="inlineStr">
        <is>
          <t>Y1 EBITDA</t>
        </is>
      </c>
      <c r="B33" t="inlineStr">
        <is>
          <t>ebitda_1</t>
        </is>
      </c>
      <c r="C33" s="4">
        <f>$C$31+$C$32</f>
        <v/>
      </c>
      <c r="D33" s="4" t="n">
        <v>100</v>
      </c>
      <c r="E33" t="inlineStr">
        <is>
          <t>operating_model.ebitda.0</t>
        </is>
      </c>
      <c r="F33" t="inlineStr">
        <is>
          <t>money, to 0.01</t>
        </is>
      </c>
    </row>
    <row r="34">
      <c r="A34" t="inlineStr">
        <is>
          <t>Y1 capex</t>
        </is>
      </c>
      <c r="B34" t="inlineStr">
        <is>
          <t>capex_1</t>
        </is>
      </c>
      <c r="C34" s="4">
        <f>$C$30*$C$11</f>
        <v/>
      </c>
      <c r="D34" s="4" t="n">
        <v>20</v>
      </c>
      <c r="E34" t="inlineStr">
        <is>
          <t>cash_flow.capex.0</t>
        </is>
      </c>
      <c r="F34" t="inlineStr">
        <is>
          <t>money, to 0.01</t>
        </is>
      </c>
    </row>
    <row r="35">
      <c r="A35" t="inlineStr">
        <is>
          <t>Y1 change in working capital</t>
        </is>
      </c>
      <c r="B35" t="inlineStr">
        <is>
          <t>dnwc_1</t>
        </is>
      </c>
      <c r="C35" s="4">
        <f>$C$30*$C$12</f>
        <v/>
      </c>
      <c r="D35" s="4" t="n">
        <v>0</v>
      </c>
      <c r="E35" t="inlineStr">
        <is>
          <t>cash_flow.delta_nwc.0</t>
        </is>
      </c>
      <c r="F35" t="inlineStr">
        <is>
          <t>money, to 0.01</t>
        </is>
      </c>
    </row>
    <row r="36">
      <c r="A36" t="inlineStr">
        <is>
          <t>Y2 revenue</t>
        </is>
      </c>
      <c r="B36" t="inlineStr">
        <is>
          <t>rev_2</t>
        </is>
      </c>
      <c r="C36" s="4">
        <f>$C$30*(1+$C$10)</f>
        <v/>
      </c>
      <c r="D36" s="4" t="n">
        <v>400</v>
      </c>
      <c r="E36" t="inlineStr">
        <is>
          <t>operating_model.revenue.1</t>
        </is>
      </c>
      <c r="F36" t="inlineStr">
        <is>
          <t>money, to 0.01</t>
        </is>
      </c>
    </row>
    <row r="37">
      <c r="A37" t="inlineStr">
        <is>
          <t>Y2 EBIT = revenue x (gross margin - opex)</t>
        </is>
      </c>
      <c r="B37" t="inlineStr">
        <is>
          <t>ebit_2</t>
        </is>
      </c>
      <c r="C37" s="4">
        <f>$C$36*($C$7-$C$8)</f>
        <v/>
      </c>
      <c r="D37" s="4" t="n">
        <v>80</v>
      </c>
      <c r="E37" t="inlineStr">
        <is>
          <t>operating_model.ebit.1</t>
        </is>
      </c>
      <c r="F37" t="inlineStr">
        <is>
          <t>money, to 0.01</t>
        </is>
      </c>
    </row>
    <row r="38">
      <c r="A38" t="inlineStr">
        <is>
          <t>Y2 D&amp;A</t>
        </is>
      </c>
      <c r="B38" t="inlineStr">
        <is>
          <t>da_2</t>
        </is>
      </c>
      <c r="C38" s="4">
        <f>$C$36*$C$9</f>
        <v/>
      </c>
      <c r="D38" s="4" t="n">
        <v>20</v>
      </c>
      <c r="E38" t="inlineStr">
        <is>
          <t>operating_model.da.1</t>
        </is>
      </c>
      <c r="F38" t="inlineStr">
        <is>
          <t>money, to 0.01</t>
        </is>
      </c>
    </row>
    <row r="39">
      <c r="A39" t="inlineStr">
        <is>
          <t>Y2 EBITDA</t>
        </is>
      </c>
      <c r="B39" t="inlineStr">
        <is>
          <t>ebitda_2</t>
        </is>
      </c>
      <c r="C39" s="4">
        <f>$C$37+$C$38</f>
        <v/>
      </c>
      <c r="D39" s="4" t="n">
        <v>100</v>
      </c>
      <c r="E39" t="inlineStr">
        <is>
          <t>operating_model.ebitda.1</t>
        </is>
      </c>
      <c r="F39" t="inlineStr">
        <is>
          <t>money, to 0.01</t>
        </is>
      </c>
    </row>
    <row r="40">
      <c r="A40" t="inlineStr">
        <is>
          <t>Y2 capex</t>
        </is>
      </c>
      <c r="B40" t="inlineStr">
        <is>
          <t>capex_2</t>
        </is>
      </c>
      <c r="C40" s="4">
        <f>$C$36*$C$11</f>
        <v/>
      </c>
      <c r="D40" s="4" t="n">
        <v>20</v>
      </c>
      <c r="E40" t="inlineStr">
        <is>
          <t>cash_flow.capex.1</t>
        </is>
      </c>
      <c r="F40" t="inlineStr">
        <is>
          <t>money, to 0.01</t>
        </is>
      </c>
    </row>
    <row r="41">
      <c r="A41" t="inlineStr">
        <is>
          <t>Y2 change in working capital</t>
        </is>
      </c>
      <c r="B41" t="inlineStr">
        <is>
          <t>dnwc_2</t>
        </is>
      </c>
      <c r="C41" s="4">
        <f>$C$36*$C$12</f>
        <v/>
      </c>
      <c r="D41" s="4" t="n">
        <v>0</v>
      </c>
      <c r="E41" t="inlineStr">
        <is>
          <t>cash_flow.delta_nwc.1</t>
        </is>
      </c>
      <c r="F41" t="inlineStr">
        <is>
          <t>money, to 0.01</t>
        </is>
      </c>
    </row>
    <row r="42">
      <c r="A42" t="inlineStr">
        <is>
          <t>Term loan at close</t>
        </is>
      </c>
      <c r="B42" t="inlineStr">
        <is>
          <t>tl_0</t>
        </is>
      </c>
      <c r="C42" s="4">
        <f>$C$26</f>
        <v/>
      </c>
      <c r="D42" s="4" t="n">
        <v>400</v>
      </c>
    </row>
    <row r="43">
      <c r="A43" t="inlineStr">
        <is>
          <t>Revolver drawn at close</t>
        </is>
      </c>
      <c r="B43" t="inlineStr">
        <is>
          <t>rv_0</t>
        </is>
      </c>
      <c r="C43" s="4">
        <f>0</f>
        <v/>
      </c>
      <c r="D43" s="4" t="n">
        <v>0</v>
      </c>
    </row>
    <row r="44">
      <c r="A44" t="inlineStr">
        <is>
          <t>Y1 commitment fee on the undrawn revolver</t>
        </is>
      </c>
      <c r="B44" t="inlineStr">
        <is>
          <t>fee_1</t>
        </is>
      </c>
      <c r="C44" s="4">
        <f>($C$19-$C$43)*$C$20</f>
        <v/>
      </c>
      <c r="D44" s="4" t="n">
        <v>1</v>
      </c>
      <c r="E44" t="inlineStr">
        <is>
          <t>tranches.Revolver.0.commitment_fee</t>
        </is>
      </c>
      <c r="F44" t="inlineStr">
        <is>
          <t>money, to 0.01</t>
        </is>
      </c>
    </row>
    <row r="45">
      <c r="A45" t="inlineStr">
        <is>
          <t>Y1 interest expense</t>
        </is>
      </c>
      <c r="B45" t="inlineStr">
        <is>
          <t>int_1</t>
        </is>
      </c>
      <c r="C45" s="4">
        <f>$C$42*$C$17+$C$43*$C$21+$C$44</f>
        <v/>
      </c>
      <c r="D45" s="4" t="n">
        <v>41</v>
      </c>
      <c r="E45" t="inlineStr">
        <is>
          <t>operating_model.interest_expense.0</t>
        </is>
      </c>
      <c r="F45" t="inlineStr">
        <is>
          <t>money, to 0.01</t>
        </is>
      </c>
    </row>
    <row r="46">
      <c r="A46" t="inlineStr">
        <is>
          <t>Y1 profit before tax = EBIT - interest + interest income</t>
        </is>
      </c>
      <c r="B46" t="inlineStr">
        <is>
          <t>ebt_1</t>
        </is>
      </c>
      <c r="C46" s="4">
        <f>$C$31-$C$45+0</f>
        <v/>
      </c>
      <c r="D46" s="4" t="n">
        <v>39</v>
      </c>
      <c r="E46" t="inlineStr">
        <is>
          <t>operating_model.ebt.0</t>
        </is>
      </c>
      <c r="F46" t="inlineStr">
        <is>
          <t>money, to 0.01</t>
        </is>
      </c>
    </row>
    <row r="47">
      <c r="A47" t="inlineStr">
        <is>
          <t>Y1 tax</t>
        </is>
      </c>
      <c r="B47" t="inlineStr">
        <is>
          <t>tax_1</t>
        </is>
      </c>
      <c r="C47" s="4">
        <f>MAX($C$46,0)*$C$13</f>
        <v/>
      </c>
      <c r="D47" s="4" t="n">
        <v>9.75</v>
      </c>
      <c r="E47" t="inlineStr">
        <is>
          <t>operating_model.taxes.0</t>
        </is>
      </c>
      <c r="F47" t="inlineStr">
        <is>
          <t>money, to 0.01</t>
        </is>
      </c>
    </row>
    <row r="48">
      <c r="A48" t="inlineStr">
        <is>
          <t>Y1 net income</t>
        </is>
      </c>
      <c r="B48" t="inlineStr">
        <is>
          <t>ni_1</t>
        </is>
      </c>
      <c r="C48" s="4">
        <f>$C$46-$C$47</f>
        <v/>
      </c>
      <c r="D48" s="4" t="n">
        <v>29.25</v>
      </c>
      <c r="E48" t="inlineStr">
        <is>
          <t>operating_model.net_income.0</t>
        </is>
      </c>
      <c r="F48" t="inlineStr">
        <is>
          <t>money, to 0.01</t>
        </is>
      </c>
    </row>
    <row r="49">
      <c r="A49" t="inlineStr">
        <is>
          <t>Y1 levered free cash flow (before repaying debt)</t>
        </is>
      </c>
      <c r="B49" t="inlineStr">
        <is>
          <t>fcf_1</t>
        </is>
      </c>
      <c r="C49" s="4">
        <f>$C$48+$C$32-$C$34-$C$35</f>
        <v/>
      </c>
      <c r="D49" s="4" t="n">
        <v>29.25</v>
      </c>
      <c r="E49" t="inlineStr">
        <is>
          <t>cash_flow.levered_fcf.0</t>
        </is>
      </c>
      <c r="F49" t="inlineStr">
        <is>
          <t>money, to 0.01</t>
        </is>
      </c>
    </row>
    <row r="50">
      <c r="A50" t="inlineStr">
        <is>
          <t>Y1 term loan after its 15% repayment</t>
        </is>
      </c>
      <c r="B50" t="inlineStr">
        <is>
          <t>tl_1</t>
        </is>
      </c>
      <c r="C50" s="4">
        <f>$C$42-$C$26*$C$18</f>
        <v/>
      </c>
      <c r="D50" s="4" t="n">
        <v>340</v>
      </c>
      <c r="E50" t="inlineStr">
        <is>
          <t>tranches.Term loan.0.ending_balance</t>
        </is>
      </c>
      <c r="F50" t="inlineStr">
        <is>
          <t>money, to 0.01</t>
        </is>
      </c>
    </row>
    <row r="51">
      <c r="A51" t="inlineStr">
        <is>
          <t>Y1 revolver draw = repayment the cash flow can't cover</t>
        </is>
      </c>
      <c r="B51" t="inlineStr">
        <is>
          <t>draw_1</t>
        </is>
      </c>
      <c r="C51" s="4">
        <f>MIN(MAX($C$26*$C$18-$C$49,0),$C$19-$C$43)</f>
        <v/>
      </c>
      <c r="D51" s="4" t="n">
        <v>30.75</v>
      </c>
      <c r="E51" t="inlineStr">
        <is>
          <t>tranches.Revolver.0.redrawn</t>
        </is>
      </c>
      <c r="F51" t="inlineStr">
        <is>
          <t>money, to 0.01</t>
        </is>
      </c>
    </row>
    <row r="52">
      <c r="A52" t="inlineStr">
        <is>
          <t>Y1 revolver closing balance</t>
        </is>
      </c>
      <c r="B52" t="inlineStr">
        <is>
          <t>rv_1</t>
        </is>
      </c>
      <c r="C52" s="4">
        <f>$C$43+$C$51</f>
        <v/>
      </c>
      <c r="D52" s="4" t="n">
        <v>30.75</v>
      </c>
      <c r="E52" t="inlineStr">
        <is>
          <t>tranches.Revolver.0.ending_balance</t>
        </is>
      </c>
      <c r="F52" t="inlineStr">
        <is>
          <t>money, to 0.01</t>
        </is>
      </c>
    </row>
    <row r="53">
      <c r="A53" t="inlineStr">
        <is>
          <t>Y2 commitment fee on the undrawn revolver</t>
        </is>
      </c>
      <c r="B53" t="inlineStr">
        <is>
          <t>fee_2</t>
        </is>
      </c>
      <c r="C53" s="4">
        <f>($C$19-$C$52)*$C$20</f>
        <v/>
      </c>
      <c r="D53" s="4" t="n">
        <v>0.6925</v>
      </c>
      <c r="E53" t="inlineStr">
        <is>
          <t>tranches.Revolver.1.commitment_fee</t>
        </is>
      </c>
      <c r="F53" t="inlineStr">
        <is>
          <t>money, to 0.01</t>
        </is>
      </c>
    </row>
    <row r="54">
      <c r="A54" t="inlineStr">
        <is>
          <t>Y2 interest expense</t>
        </is>
      </c>
      <c r="B54" t="inlineStr">
        <is>
          <t>int_2</t>
        </is>
      </c>
      <c r="C54" s="4">
        <f>$C$50*$C$17+$C$52*$C$21+$C$53</f>
        <v/>
      </c>
      <c r="D54" s="4" t="n">
        <v>37.1525</v>
      </c>
      <c r="E54" t="inlineStr">
        <is>
          <t>operating_model.interest_expense.1</t>
        </is>
      </c>
      <c r="F54" t="inlineStr">
        <is>
          <t>money, to 0.01</t>
        </is>
      </c>
    </row>
    <row r="55">
      <c r="A55" t="inlineStr">
        <is>
          <t>Y2 profit before tax = EBIT - interest + interest income</t>
        </is>
      </c>
      <c r="B55" t="inlineStr">
        <is>
          <t>ebt_2</t>
        </is>
      </c>
      <c r="C55" s="4">
        <f>$C$37-$C$54+0</f>
        <v/>
      </c>
      <c r="D55" s="4" t="n">
        <v>42.8475</v>
      </c>
      <c r="E55" t="inlineStr">
        <is>
          <t>operating_model.ebt.1</t>
        </is>
      </c>
      <c r="F55" t="inlineStr">
        <is>
          <t>money, to 0.01</t>
        </is>
      </c>
    </row>
    <row r="56">
      <c r="A56" t="inlineStr">
        <is>
          <t>Y2 tax</t>
        </is>
      </c>
      <c r="B56" t="inlineStr">
        <is>
          <t>tax_2</t>
        </is>
      </c>
      <c r="C56" s="4">
        <f>MAX($C$55,0)*$C$13</f>
        <v/>
      </c>
      <c r="D56" s="4" t="n">
        <v>10.711875</v>
      </c>
      <c r="E56" t="inlineStr">
        <is>
          <t>operating_model.taxes.1</t>
        </is>
      </c>
      <c r="F56" t="inlineStr">
        <is>
          <t>money, to 0.01</t>
        </is>
      </c>
    </row>
    <row r="57">
      <c r="A57" t="inlineStr">
        <is>
          <t>Y2 net income</t>
        </is>
      </c>
      <c r="B57" t="inlineStr">
        <is>
          <t>ni_2</t>
        </is>
      </c>
      <c r="C57" s="4">
        <f>$C$55-$C$56</f>
        <v/>
      </c>
      <c r="D57" s="4" t="n">
        <v>32.135625</v>
      </c>
      <c r="E57" t="inlineStr">
        <is>
          <t>operating_model.net_income.1</t>
        </is>
      </c>
      <c r="F57" t="inlineStr">
        <is>
          <t>money, to 0.01</t>
        </is>
      </c>
    </row>
    <row r="58">
      <c r="A58" t="inlineStr">
        <is>
          <t>Y2 levered free cash flow (before repaying debt)</t>
        </is>
      </c>
      <c r="B58" t="inlineStr">
        <is>
          <t>fcf_2</t>
        </is>
      </c>
      <c r="C58" s="4">
        <f>$C$57+$C$38-$C$40-$C$41</f>
        <v/>
      </c>
      <c r="D58" s="4" t="n">
        <v>32.135625</v>
      </c>
      <c r="E58" t="inlineStr">
        <is>
          <t>cash_flow.levered_fcf.1</t>
        </is>
      </c>
      <c r="F58" t="inlineStr">
        <is>
          <t>money, to 0.01</t>
        </is>
      </c>
    </row>
    <row r="59">
      <c r="A59" t="inlineStr">
        <is>
          <t>Y2 term loan after its 15% repayment</t>
        </is>
      </c>
      <c r="B59" t="inlineStr">
        <is>
          <t>tl_2</t>
        </is>
      </c>
      <c r="C59" s="4">
        <f>$C$50-$C$26*$C$18</f>
        <v/>
      </c>
      <c r="D59" s="4" t="n">
        <v>280</v>
      </c>
      <c r="E59" t="inlineStr">
        <is>
          <t>tranches.Term loan.1.ending_balance</t>
        </is>
      </c>
      <c r="F59" t="inlineStr">
        <is>
          <t>money, to 0.01</t>
        </is>
      </c>
    </row>
    <row r="60">
      <c r="A60" t="inlineStr">
        <is>
          <t>Y2 revolver draw = repayment the cash flow can't cover</t>
        </is>
      </c>
      <c r="B60" t="inlineStr">
        <is>
          <t>draw_2</t>
        </is>
      </c>
      <c r="C60" s="4">
        <f>MIN(MAX($C$26*$C$18-$C$58,0),$C$19-$C$52)</f>
        <v/>
      </c>
      <c r="D60" s="4" t="n">
        <v>27.864375</v>
      </c>
      <c r="E60" t="inlineStr">
        <is>
          <t>tranches.Revolver.1.redrawn</t>
        </is>
      </c>
      <c r="F60" t="inlineStr">
        <is>
          <t>money, to 0.01</t>
        </is>
      </c>
    </row>
    <row r="61">
      <c r="A61" t="inlineStr">
        <is>
          <t>Y2 revolver closing balance</t>
        </is>
      </c>
      <c r="B61" t="inlineStr">
        <is>
          <t>rv_2</t>
        </is>
      </c>
      <c r="C61" s="4">
        <f>$C$52+$C$60</f>
        <v/>
      </c>
      <c r="D61" s="4" t="n">
        <v>58.614375</v>
      </c>
      <c r="E61" t="inlineStr">
        <is>
          <t>tranches.Revolver.1.ending_balance</t>
        </is>
      </c>
      <c r="F61" t="inlineStr">
        <is>
          <t>money, to 0.01</t>
        </is>
      </c>
    </row>
    <row r="62">
      <c r="A62" t="inlineStr">
        <is>
          <t>Net debt at exit (debt - cash + lease liability)</t>
        </is>
      </c>
      <c r="B62" t="inlineStr">
        <is>
          <t>net_debt_exit</t>
        </is>
      </c>
      <c r="C62" s="4">
        <f>$C$59+$C$61</f>
        <v/>
      </c>
      <c r="D62" s="4" t="n">
        <v>338.614375</v>
      </c>
      <c r="E62" t="inlineStr">
        <is>
          <t>returns.net_debt_at_exit</t>
        </is>
      </c>
      <c r="F62" t="inlineStr">
        <is>
          <t>money, to 0.01</t>
        </is>
      </c>
    </row>
    <row r="63">
      <c r="A63" t="inlineStr">
        <is>
          <t>Exit EV = (final-year EBITDA + lease add-back) x exit multiple</t>
        </is>
      </c>
      <c r="B63" t="inlineStr">
        <is>
          <t>exit_ev</t>
        </is>
      </c>
      <c r="C63" s="4">
        <f>($C$39+0)*$C$15</f>
        <v/>
      </c>
      <c r="D63" s="4" t="n">
        <v>800</v>
      </c>
      <c r="E63" t="inlineStr">
        <is>
          <t>returns.exit_ev</t>
        </is>
      </c>
      <c r="F63" t="inlineStr">
        <is>
          <t>money, to 0.01</t>
        </is>
      </c>
    </row>
    <row r="64">
      <c r="A64" t="inlineStr">
        <is>
          <t>Exit equity = exit EV - net debt</t>
        </is>
      </c>
      <c r="B64" t="inlineStr">
        <is>
          <t>exit_equity</t>
        </is>
      </c>
      <c r="C64" s="4">
        <f>$C$63-$C$62</f>
        <v/>
      </c>
      <c r="D64" s="4" t="n">
        <v>461.385625</v>
      </c>
      <c r="E64" t="inlineStr">
        <is>
          <t>returns.net_exit_equity</t>
        </is>
      </c>
      <c r="F64" t="inlineStr">
        <is>
          <t>money, to 0.01</t>
        </is>
      </c>
    </row>
    <row r="65">
      <c r="A65" t="inlineStr">
        <is>
          <t>MOIC = exit equity / entry equity</t>
        </is>
      </c>
      <c r="B65" t="inlineStr">
        <is>
          <t>moic</t>
        </is>
      </c>
      <c r="C65" s="5">
        <f>$C$64/$C$28</f>
        <v/>
      </c>
      <c r="D65" s="5" t="n">
        <v>1.1534640625</v>
      </c>
      <c r="E65" t="inlineStr">
        <is>
          <t>returns.moic</t>
        </is>
      </c>
      <c r="F65" t="inlineStr">
        <is>
          <t>multiple, to 0.01</t>
        </is>
      </c>
    </row>
    <row r="66">
      <c r="A66" t="inlineStr">
        <is>
          <t>IRR = MOIC ^ (1 / years) - 1</t>
        </is>
      </c>
      <c r="B66" t="inlineStr">
        <is>
          <t>irr</t>
        </is>
      </c>
      <c r="C66" s="6">
        <f>$C$65^(1/$C$16)-1</f>
        <v/>
      </c>
      <c r="D66" s="6" t="n">
        <v>0.07399444249027654</v>
      </c>
      <c r="E66" t="inlineStr">
        <is>
          <t>returns.irr</t>
        </is>
      </c>
      <c r="F66" t="inlineStr">
        <is>
          <t>per cent, to 0.01</t>
        </is>
      </c>
    </row>
    <row r="68">
      <c r="A68" s="3" t="inlineStr">
        <is>
          <t>Headline answers, typed by hand</t>
        </is>
      </c>
    </row>
    <row r="69">
      <c r="A69" t="inlineStr">
        <is>
          <t>Sponsor equity = EV + costs + minimum cash - debt - lease liability</t>
        </is>
      </c>
      <c r="B69" t="inlineStr">
        <is>
          <t>equity</t>
        </is>
      </c>
      <c r="D69" s="4" t="n">
        <v>400</v>
      </c>
    </row>
    <row r="70">
      <c r="A70" t="inlineStr">
        <is>
          <t>Exit equity = exit EV - net debt</t>
        </is>
      </c>
      <c r="B70" t="inlineStr">
        <is>
          <t>exit_equity</t>
        </is>
      </c>
      <c r="D70" s="4" t="n">
        <v>461.385625</v>
      </c>
    </row>
  </sheetData>
  <mergeCells count="1">
    <mergeCell ref="A3:F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14. Interest capped at 30% of EBITDA</t>
        </is>
      </c>
    </row>
    <row r="2">
      <c r="A2" t="inlineStr">
        <is>
          <t>Covers: interest cap</t>
        </is>
      </c>
    </row>
    <row r="3" ht="90" customHeight="1">
      <c r="A3" s="2" t="inlineStr">
        <is>
          <t>Case 02 under a 30%-of-EBITDA interest limit (as in Germany, the UK or the US). Interest 40 against a cap of 30: 30 is deductible and 10 a year carries forward, never used because the cap never has room. Tax (80 - 30) x 25% = 12.5 instead of 10, so net income 27.5.</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cap_share</t>
        </is>
      </c>
      <c r="B18" t="inlineStr">
        <is>
          <t>cap_share</t>
        </is>
      </c>
      <c r="C18" t="n">
        <v>0.3</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400</f>
        <v/>
      </c>
      <c r="D23" s="4" t="n">
        <v>400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$C$22+$C$24+0-$C$23-0</f>
        <v/>
      </c>
      <c r="D25" s="4" t="n">
        <v>400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Y1 cap = 30% of EBITDA</t>
        </is>
      </c>
      <c r="B45" t="inlineStr">
        <is>
          <t>cap_1</t>
        </is>
      </c>
      <c r="C45" s="4">
        <f>$C$18*$C$30</f>
        <v/>
      </c>
      <c r="D45" s="4" t="n">
        <v>30</v>
      </c>
    </row>
    <row r="46">
      <c r="A46" t="inlineStr">
        <is>
          <t>Y1 interest deductible = min(interest + carried, cap)</t>
        </is>
      </c>
      <c r="B46" t="inlineStr">
        <is>
          <t>ded_1</t>
        </is>
      </c>
      <c r="C46" s="4">
        <f>MIN($C$23*$C$17+0,$C$45)</f>
        <v/>
      </c>
      <c r="D46" s="4" t="n">
        <v>30</v>
      </c>
      <c r="E46" t="inlineStr">
        <is>
          <t>tax.interest_deductible.0</t>
        </is>
      </c>
      <c r="F46" t="inlineStr">
        <is>
          <t>money, to 0.01</t>
        </is>
      </c>
    </row>
    <row r="47">
      <c r="A47" t="inlineStr">
        <is>
          <t>Y1 interest carried forward</t>
        </is>
      </c>
      <c r="B47" t="inlineStr">
        <is>
          <t>carried_1</t>
        </is>
      </c>
      <c r="C47" s="4">
        <f>$C$23*$C$17+0-$C$46</f>
        <v/>
      </c>
      <c r="D47" s="4" t="n">
        <v>10</v>
      </c>
      <c r="E47" t="inlineStr">
        <is>
          <t>tax.interest_carried.0</t>
        </is>
      </c>
      <c r="F47" t="inlineStr">
        <is>
          <t>money, to 0.01</t>
        </is>
      </c>
    </row>
    <row r="48">
      <c r="A48" t="inlineStr">
        <is>
          <t>Y1 interest expense</t>
        </is>
      </c>
      <c r="B48" t="inlineStr">
        <is>
          <t>int_1</t>
        </is>
      </c>
      <c r="C48" s="4">
        <f>$C$23*$C$17</f>
        <v/>
      </c>
      <c r="D48" s="4" t="n">
        <v>40</v>
      </c>
      <c r="E48" t="inlineStr">
        <is>
          <t>operating_model.interest_expense.0</t>
        </is>
      </c>
      <c r="F48" t="inlineStr">
        <is>
          <t>money, to 0.01</t>
        </is>
      </c>
    </row>
    <row r="49">
      <c r="A49" t="inlineStr">
        <is>
          <t>Y1 profit before tax = EBIT - interest + interest income</t>
        </is>
      </c>
      <c r="B49" t="inlineStr">
        <is>
          <t>ebt_1</t>
        </is>
      </c>
      <c r="C49" s="4">
        <f>$C$28-$C$48+0</f>
        <v/>
      </c>
      <c r="D49" s="4" t="n">
        <v>40</v>
      </c>
      <c r="E49" t="inlineStr">
        <is>
          <t>operating_model.ebt.0</t>
        </is>
      </c>
      <c r="F49" t="inlineStr">
        <is>
          <t>money, to 0.01</t>
        </is>
      </c>
    </row>
    <row r="50">
      <c r="A50" t="inlineStr">
        <is>
          <t>Y1 tax</t>
        </is>
      </c>
      <c r="B50" t="inlineStr">
        <is>
          <t>tax_1</t>
        </is>
      </c>
      <c r="C50" s="4">
        <f>MAX($C$28-$C$46,0)*$C$13</f>
        <v/>
      </c>
      <c r="D50" s="4" t="n">
        <v>12.5</v>
      </c>
      <c r="E50" t="inlineStr">
        <is>
          <t>operating_model.taxes.0</t>
        </is>
      </c>
      <c r="F50" t="inlineStr">
        <is>
          <t>money, to 0.01</t>
        </is>
      </c>
    </row>
    <row r="51">
      <c r="A51" t="inlineStr">
        <is>
          <t>Y1 net income</t>
        </is>
      </c>
      <c r="B51" t="inlineStr">
        <is>
          <t>ni_1</t>
        </is>
      </c>
      <c r="C51" s="4">
        <f>$C$49-$C$50</f>
        <v/>
      </c>
      <c r="D51" s="4" t="n">
        <v>27.5</v>
      </c>
      <c r="E51" t="inlineStr">
        <is>
          <t>operating_model.net_income.0</t>
        </is>
      </c>
      <c r="F51" t="inlineStr">
        <is>
          <t>money, to 0.01</t>
        </is>
      </c>
    </row>
    <row r="52">
      <c r="A52" t="inlineStr">
        <is>
          <t>Y1 levered free cash flow (before repaying debt)</t>
        </is>
      </c>
      <c r="B52" t="inlineStr">
        <is>
          <t>fcf_1</t>
        </is>
      </c>
      <c r="C52" s="4">
        <f>$C$51+$C$29-$C$31-$C$32</f>
        <v/>
      </c>
      <c r="D52" s="4" t="n">
        <v>27.5</v>
      </c>
      <c r="E52" t="inlineStr">
        <is>
          <t>cash_flow.levered_fcf.0</t>
        </is>
      </c>
      <c r="F52" t="inlineStr">
        <is>
          <t>money, to 0.01</t>
        </is>
      </c>
    </row>
    <row r="53">
      <c r="A53" t="inlineStr">
        <is>
          <t>Y1 closing cash</t>
        </is>
      </c>
      <c r="B53" t="inlineStr">
        <is>
          <t>cash_1</t>
        </is>
      </c>
      <c r="C53" s="4">
        <f>0+$C$52</f>
        <v/>
      </c>
      <c r="D53" s="4" t="n">
        <v>27.5</v>
      </c>
    </row>
    <row r="54">
      <c r="A54" t="inlineStr">
        <is>
          <t>Y2 cap = 30% of EBITDA</t>
        </is>
      </c>
      <c r="B54" t="inlineStr">
        <is>
          <t>cap_2</t>
        </is>
      </c>
      <c r="C54" s="4">
        <f>$C$18*$C$36</f>
        <v/>
      </c>
      <c r="D54" s="4" t="n">
        <v>30</v>
      </c>
    </row>
    <row r="55">
      <c r="A55" t="inlineStr">
        <is>
          <t>Y2 interest deductible = min(interest + carried, cap)</t>
        </is>
      </c>
      <c r="B55" t="inlineStr">
        <is>
          <t>ded_2</t>
        </is>
      </c>
      <c r="C55" s="4">
        <f>MIN($C$23*$C$17+$C$47,$C$54)</f>
        <v/>
      </c>
      <c r="D55" s="4" t="n">
        <v>30</v>
      </c>
      <c r="E55" t="inlineStr">
        <is>
          <t>tax.interest_deductible.1</t>
        </is>
      </c>
      <c r="F55" t="inlineStr">
        <is>
          <t>money, to 0.01</t>
        </is>
      </c>
    </row>
    <row r="56">
      <c r="A56" t="inlineStr">
        <is>
          <t>Y2 interest carried forward</t>
        </is>
      </c>
      <c r="B56" t="inlineStr">
        <is>
          <t>carried_2</t>
        </is>
      </c>
      <c r="C56" s="4">
        <f>$C$23*$C$17+$C$47-$C$55</f>
        <v/>
      </c>
      <c r="D56" s="4" t="n">
        <v>20</v>
      </c>
      <c r="E56" t="inlineStr">
        <is>
          <t>tax.interest_carried.1</t>
        </is>
      </c>
      <c r="F56" t="inlineStr">
        <is>
          <t>money, to 0.01</t>
        </is>
      </c>
    </row>
    <row r="57">
      <c r="A57" t="inlineStr">
        <is>
          <t>Y2 interest expense</t>
        </is>
      </c>
      <c r="B57" t="inlineStr">
        <is>
          <t>int_2</t>
        </is>
      </c>
      <c r="C57" s="4">
        <f>$C$23*$C$17</f>
        <v/>
      </c>
      <c r="D57" s="4" t="n">
        <v>40</v>
      </c>
      <c r="E57" t="inlineStr">
        <is>
          <t>operating_model.interest_expense.1</t>
        </is>
      </c>
      <c r="F57" t="inlineStr">
        <is>
          <t>money, to 0.01</t>
        </is>
      </c>
    </row>
    <row r="58">
      <c r="A58" t="inlineStr">
        <is>
          <t>Y2 profit before tax = EBIT - interest + interest income</t>
        </is>
      </c>
      <c r="B58" t="inlineStr">
        <is>
          <t>ebt_2</t>
        </is>
      </c>
      <c r="C58" s="4">
        <f>$C$34-$C$57+0</f>
        <v/>
      </c>
      <c r="D58" s="4" t="n">
        <v>40</v>
      </c>
      <c r="E58" t="inlineStr">
        <is>
          <t>operating_model.ebt.1</t>
        </is>
      </c>
      <c r="F58" t="inlineStr">
        <is>
          <t>money, to 0.01</t>
        </is>
      </c>
    </row>
    <row r="59">
      <c r="A59" t="inlineStr">
        <is>
          <t>Y2 tax</t>
        </is>
      </c>
      <c r="B59" t="inlineStr">
        <is>
          <t>tax_2</t>
        </is>
      </c>
      <c r="C59" s="4">
        <f>MAX($C$34-$C$55,0)*$C$13</f>
        <v/>
      </c>
      <c r="D59" s="4" t="n">
        <v>12.5</v>
      </c>
      <c r="E59" t="inlineStr">
        <is>
          <t>operating_model.taxes.1</t>
        </is>
      </c>
      <c r="F59" t="inlineStr">
        <is>
          <t>money, to 0.01</t>
        </is>
      </c>
    </row>
    <row r="60">
      <c r="A60" t="inlineStr">
        <is>
          <t>Y2 net income</t>
        </is>
      </c>
      <c r="B60" t="inlineStr">
        <is>
          <t>ni_2</t>
        </is>
      </c>
      <c r="C60" s="4">
        <f>$C$58-$C$59</f>
        <v/>
      </c>
      <c r="D60" s="4" t="n">
        <v>27.5</v>
      </c>
      <c r="E60" t="inlineStr">
        <is>
          <t>operating_model.net_income.1</t>
        </is>
      </c>
      <c r="F60" t="inlineStr">
        <is>
          <t>money, to 0.01</t>
        </is>
      </c>
    </row>
    <row r="61">
      <c r="A61" t="inlineStr">
        <is>
          <t>Y2 levered free cash flow (before repaying debt)</t>
        </is>
      </c>
      <c r="B61" t="inlineStr">
        <is>
          <t>fcf_2</t>
        </is>
      </c>
      <c r="C61" s="4">
        <f>$C$60+$C$35-$C$37-$C$38</f>
        <v/>
      </c>
      <c r="D61" s="4" t="n">
        <v>27.5</v>
      </c>
      <c r="E61" t="inlineStr">
        <is>
          <t>cash_flow.levered_fcf.1</t>
        </is>
      </c>
      <c r="F61" t="inlineStr">
        <is>
          <t>money, to 0.01</t>
        </is>
      </c>
    </row>
    <row r="62">
      <c r="A62" t="inlineStr">
        <is>
          <t>Y2 closing cash</t>
        </is>
      </c>
      <c r="B62" t="inlineStr">
        <is>
          <t>cash_2</t>
        </is>
      </c>
      <c r="C62" s="4">
        <f>$C$53+$C$61</f>
        <v/>
      </c>
      <c r="D62" s="4" t="n">
        <v>55</v>
      </c>
    </row>
    <row r="63">
      <c r="A63" t="inlineStr">
        <is>
          <t>Y3 cap = 30% of EBITDA</t>
        </is>
      </c>
      <c r="B63" t="inlineStr">
        <is>
          <t>cap_3</t>
        </is>
      </c>
      <c r="C63" s="4">
        <f>$C$18*$C$42</f>
        <v/>
      </c>
      <c r="D63" s="4" t="n">
        <v>30</v>
      </c>
    </row>
    <row r="64">
      <c r="A64" t="inlineStr">
        <is>
          <t>Y3 interest deductible = min(interest + carried, cap)</t>
        </is>
      </c>
      <c r="B64" t="inlineStr">
        <is>
          <t>ded_3</t>
        </is>
      </c>
      <c r="C64" s="4">
        <f>MIN($C$23*$C$17+$C$56,$C$63)</f>
        <v/>
      </c>
      <c r="D64" s="4" t="n">
        <v>30</v>
      </c>
      <c r="E64" t="inlineStr">
        <is>
          <t>tax.interest_deductible.2</t>
        </is>
      </c>
      <c r="F64" t="inlineStr">
        <is>
          <t>money, to 0.01</t>
        </is>
      </c>
    </row>
    <row r="65">
      <c r="A65" t="inlineStr">
        <is>
          <t>Y3 interest carried forward</t>
        </is>
      </c>
      <c r="B65" t="inlineStr">
        <is>
          <t>carried_3</t>
        </is>
      </c>
      <c r="C65" s="4">
        <f>$C$23*$C$17+$C$56-$C$64</f>
        <v/>
      </c>
      <c r="D65" s="4" t="n">
        <v>30</v>
      </c>
      <c r="E65" t="inlineStr">
        <is>
          <t>tax.interest_carried.2</t>
        </is>
      </c>
      <c r="F65" t="inlineStr">
        <is>
          <t>money, to 0.01</t>
        </is>
      </c>
    </row>
    <row r="66">
      <c r="A66" t="inlineStr">
        <is>
          <t>Y3 interest expense</t>
        </is>
      </c>
      <c r="B66" t="inlineStr">
        <is>
          <t>int_3</t>
        </is>
      </c>
      <c r="C66" s="4">
        <f>$C$23*$C$17</f>
        <v/>
      </c>
      <c r="D66" s="4" t="n">
        <v>40</v>
      </c>
      <c r="E66" t="inlineStr">
        <is>
          <t>operating_model.interest_expense.2</t>
        </is>
      </c>
      <c r="F66" t="inlineStr">
        <is>
          <t>money, to 0.01</t>
        </is>
      </c>
    </row>
    <row r="67">
      <c r="A67" t="inlineStr">
        <is>
          <t>Y3 profit before tax = EBIT - interest + interest income</t>
        </is>
      </c>
      <c r="B67" t="inlineStr">
        <is>
          <t>ebt_3</t>
        </is>
      </c>
      <c r="C67" s="4">
        <f>$C$40-$C$66+0</f>
        <v/>
      </c>
      <c r="D67" s="4" t="n">
        <v>40</v>
      </c>
      <c r="E67" t="inlineStr">
        <is>
          <t>operating_model.ebt.2</t>
        </is>
      </c>
      <c r="F67" t="inlineStr">
        <is>
          <t>money, to 0.01</t>
        </is>
      </c>
    </row>
    <row r="68">
      <c r="A68" t="inlineStr">
        <is>
          <t>Y3 tax</t>
        </is>
      </c>
      <c r="B68" t="inlineStr">
        <is>
          <t>tax_3</t>
        </is>
      </c>
      <c r="C68" s="4">
        <f>MAX($C$40-$C$64,0)*$C$13</f>
        <v/>
      </c>
      <c r="D68" s="4" t="n">
        <v>12.5</v>
      </c>
      <c r="E68" t="inlineStr">
        <is>
          <t>operating_model.taxes.2</t>
        </is>
      </c>
      <c r="F68" t="inlineStr">
        <is>
          <t>money, to 0.01</t>
        </is>
      </c>
    </row>
    <row r="69">
      <c r="A69" t="inlineStr">
        <is>
          <t>Y3 net income</t>
        </is>
      </c>
      <c r="B69" t="inlineStr">
        <is>
          <t>ni_3</t>
        </is>
      </c>
      <c r="C69" s="4">
        <f>$C$67-$C$68</f>
        <v/>
      </c>
      <c r="D69" s="4" t="n">
        <v>27.5</v>
      </c>
      <c r="E69" t="inlineStr">
        <is>
          <t>operating_model.net_income.2</t>
        </is>
      </c>
      <c r="F69" t="inlineStr">
        <is>
          <t>money, to 0.01</t>
        </is>
      </c>
    </row>
    <row r="70">
      <c r="A70" t="inlineStr">
        <is>
          <t>Y3 levered free cash flow (before repaying debt)</t>
        </is>
      </c>
      <c r="B70" t="inlineStr">
        <is>
          <t>fcf_3</t>
        </is>
      </c>
      <c r="C70" s="4">
        <f>$C$69+$C$41-$C$43-$C$44</f>
        <v/>
      </c>
      <c r="D70" s="4" t="n">
        <v>27.5</v>
      </c>
      <c r="E70" t="inlineStr">
        <is>
          <t>cash_flow.levered_fcf.2</t>
        </is>
      </c>
      <c r="F70" t="inlineStr">
        <is>
          <t>money, to 0.01</t>
        </is>
      </c>
    </row>
    <row r="71">
      <c r="A71" t="inlineStr">
        <is>
          <t>Y3 closing cash</t>
        </is>
      </c>
      <c r="B71" t="inlineStr">
        <is>
          <t>cash_3</t>
        </is>
      </c>
      <c r="C71" s="4">
        <f>$C$62+$C$70</f>
        <v/>
      </c>
      <c r="D71" s="4" t="n">
        <v>82.5</v>
      </c>
    </row>
    <row r="72">
      <c r="A72" t="inlineStr">
        <is>
          <t>Net debt at exit (debt - cash + lease liability)</t>
        </is>
      </c>
      <c r="B72" t="inlineStr">
        <is>
          <t>net_debt_exit</t>
        </is>
      </c>
      <c r="C72" s="4">
        <f>$C$23-$C$71</f>
        <v/>
      </c>
      <c r="D72" s="4" t="n">
        <v>317.5</v>
      </c>
      <c r="E72" t="inlineStr">
        <is>
          <t>returns.net_debt_at_exit</t>
        </is>
      </c>
      <c r="F72" t="inlineStr">
        <is>
          <t>money, to 0.01</t>
        </is>
      </c>
    </row>
    <row r="73">
      <c r="A73" t="inlineStr">
        <is>
          <t>Exit EV = (final-year EBITDA + lease add-back) x exit multiple</t>
        </is>
      </c>
      <c r="B73" t="inlineStr">
        <is>
          <t>exit_ev</t>
        </is>
      </c>
      <c r="C73" s="4">
        <f>($C$42+0)*$C$15</f>
        <v/>
      </c>
      <c r="D73" s="4" t="n">
        <v>800</v>
      </c>
      <c r="E73" t="inlineStr">
        <is>
          <t>returns.exit_ev</t>
        </is>
      </c>
      <c r="F73" t="inlineStr">
        <is>
          <t>money, to 0.01</t>
        </is>
      </c>
    </row>
    <row r="74">
      <c r="A74" t="inlineStr">
        <is>
          <t>Exit equity = exit EV - net debt</t>
        </is>
      </c>
      <c r="B74" t="inlineStr">
        <is>
          <t>exit_equity</t>
        </is>
      </c>
      <c r="C74" s="4">
        <f>$C$73-$C$72</f>
        <v/>
      </c>
      <c r="D74" s="4" t="n">
        <v>482.5</v>
      </c>
      <c r="E74" t="inlineStr">
        <is>
          <t>returns.net_exit_equity</t>
        </is>
      </c>
      <c r="F74" t="inlineStr">
        <is>
          <t>money, to 0.01</t>
        </is>
      </c>
    </row>
    <row r="75">
      <c r="A75" t="inlineStr">
        <is>
          <t>MOIC = exit equity / entry equity</t>
        </is>
      </c>
      <c r="B75" t="inlineStr">
        <is>
          <t>moic</t>
        </is>
      </c>
      <c r="C75" s="5">
        <f>$C$74/$C$25</f>
        <v/>
      </c>
      <c r="D75" s="5" t="n">
        <v>1.20625</v>
      </c>
      <c r="E75" t="inlineStr">
        <is>
          <t>returns.moic</t>
        </is>
      </c>
      <c r="F75" t="inlineStr">
        <is>
          <t>multiple, to 0.01</t>
        </is>
      </c>
    </row>
    <row r="76">
      <c r="A76" t="inlineStr">
        <is>
          <t>IRR = MOIC ^ (1 / years) - 1</t>
        </is>
      </c>
      <c r="B76" t="inlineStr">
        <is>
          <t>irr</t>
        </is>
      </c>
      <c r="C76" s="6">
        <f>$C$75^(1/$C$16)-1</f>
        <v/>
      </c>
      <c r="D76" s="6" t="n">
        <v>0.06450026882775228</v>
      </c>
      <c r="E76" t="inlineStr">
        <is>
          <t>returns.irr</t>
        </is>
      </c>
      <c r="F76" t="inlineStr">
        <is>
          <t>per cent, to 0.01</t>
        </is>
      </c>
    </row>
    <row r="78">
      <c r="A78" s="3" t="inlineStr">
        <is>
          <t>Headline answers, typed by hand</t>
        </is>
      </c>
    </row>
    <row r="79">
      <c r="A79" t="inlineStr">
        <is>
          <t>Sponsor equity = EV + costs + minimum cash - debt - lease liability</t>
        </is>
      </c>
      <c r="B79" t="inlineStr">
        <is>
          <t>equity</t>
        </is>
      </c>
      <c r="D79" s="4" t="n">
        <v>400</v>
      </c>
    </row>
    <row r="80">
      <c r="A80" t="inlineStr">
        <is>
          <t>Exit equity = exit EV - net debt</t>
        </is>
      </c>
      <c r="B80" t="inlineStr">
        <is>
          <t>exit_equity</t>
        </is>
      </c>
      <c r="D80" s="4" t="n">
        <v>482.5</v>
      </c>
    </row>
  </sheetData>
  <mergeCells count="1">
    <mergeCell ref="A3:F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15. Fixed interest cap, carried interest used later</t>
        </is>
      </c>
    </row>
    <row r="2">
      <c r="A2" t="inlineStr">
        <is>
          <t>Covers: interest cap</t>
        </is>
      </c>
    </row>
    <row r="3" ht="90" customHeight="1">
      <c r="A3" s="2" t="inlineStr">
        <is>
          <t>A fixed cap of 38 a year on a swept 400 loan at 10%. Year 1: 40 of interest, 38 allowed, 2 carried. Year 2: 37.05 + 2 claimed, 38 allowed, 1.05 carried. Year 3: interest has fallen to 33.805, so the 1.05 fits under the cap and is used up.</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cap</t>
        </is>
      </c>
      <c r="B18" t="inlineStr">
        <is>
          <t>cap</t>
        </is>
      </c>
      <c r="C18" t="n">
        <v>38</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400</f>
        <v/>
      </c>
      <c r="D23" s="4" t="n">
        <v>400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$C$22+$C$24+0-$C$23-0</f>
        <v/>
      </c>
      <c r="D25" s="4" t="n">
        <v>400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Term loan at close</t>
        </is>
      </c>
      <c r="B45" t="inlineStr">
        <is>
          <t>bal_0</t>
        </is>
      </c>
      <c r="C45" s="4">
        <f>$C$23</f>
        <v/>
      </c>
      <c r="D45" s="4" t="n">
        <v>400</v>
      </c>
    </row>
    <row r="46">
      <c r="A46" t="inlineStr">
        <is>
          <t>Y1 interest deductible = min(interest + carried, the fixed cap)</t>
        </is>
      </c>
      <c r="B46" t="inlineStr">
        <is>
          <t>ded_1</t>
        </is>
      </c>
      <c r="C46" s="4">
        <f>MIN($C$45*$C$17+0,$C$18)</f>
        <v/>
      </c>
      <c r="D46" s="4" t="n">
        <v>38</v>
      </c>
      <c r="E46" t="inlineStr">
        <is>
          <t>tax.interest_deductible.0</t>
        </is>
      </c>
      <c r="F46" t="inlineStr">
        <is>
          <t>money, to 0.01</t>
        </is>
      </c>
    </row>
    <row r="47">
      <c r="A47" t="inlineStr">
        <is>
          <t>Y1 interest carried forward</t>
        </is>
      </c>
      <c r="B47" t="inlineStr">
        <is>
          <t>carried_1</t>
        </is>
      </c>
      <c r="C47" s="4">
        <f>$C$45*$C$17+0-$C$46</f>
        <v/>
      </c>
      <c r="D47" s="4" t="n">
        <v>2</v>
      </c>
      <c r="E47" t="inlineStr">
        <is>
          <t>tax.interest_carried.0</t>
        </is>
      </c>
      <c r="F47" t="inlineStr">
        <is>
          <t>money, to 0.01</t>
        </is>
      </c>
    </row>
    <row r="48">
      <c r="A48" t="inlineStr">
        <is>
          <t>Y1 interest expense</t>
        </is>
      </c>
      <c r="B48" t="inlineStr">
        <is>
          <t>int_1</t>
        </is>
      </c>
      <c r="C48" s="4">
        <f>$C$45*$C$17</f>
        <v/>
      </c>
      <c r="D48" s="4" t="n">
        <v>40</v>
      </c>
      <c r="E48" t="inlineStr">
        <is>
          <t>operating_model.interest_expense.0</t>
        </is>
      </c>
      <c r="F48" t="inlineStr">
        <is>
          <t>money, to 0.01</t>
        </is>
      </c>
    </row>
    <row r="49">
      <c r="A49" t="inlineStr">
        <is>
          <t>Y1 profit before tax = EBIT - interest + interest income</t>
        </is>
      </c>
      <c r="B49" t="inlineStr">
        <is>
          <t>ebt_1</t>
        </is>
      </c>
      <c r="C49" s="4">
        <f>$C$28-$C$48+0</f>
        <v/>
      </c>
      <c r="D49" s="4" t="n">
        <v>40</v>
      </c>
      <c r="E49" t="inlineStr">
        <is>
          <t>operating_model.ebt.0</t>
        </is>
      </c>
      <c r="F49" t="inlineStr">
        <is>
          <t>money, to 0.01</t>
        </is>
      </c>
    </row>
    <row r="50">
      <c r="A50" t="inlineStr">
        <is>
          <t>Y1 tax</t>
        </is>
      </c>
      <c r="B50" t="inlineStr">
        <is>
          <t>tax_1</t>
        </is>
      </c>
      <c r="C50" s="4">
        <f>MAX($C$28-$C$46,0)*$C$13</f>
        <v/>
      </c>
      <c r="D50" s="4" t="n">
        <v>10.5</v>
      </c>
      <c r="E50" t="inlineStr">
        <is>
          <t>operating_model.taxes.0</t>
        </is>
      </c>
      <c r="F50" t="inlineStr">
        <is>
          <t>money, to 0.01</t>
        </is>
      </c>
    </row>
    <row r="51">
      <c r="A51" t="inlineStr">
        <is>
          <t>Y1 net income</t>
        </is>
      </c>
      <c r="B51" t="inlineStr">
        <is>
          <t>ni_1</t>
        </is>
      </c>
      <c r="C51" s="4">
        <f>$C$49-$C$50</f>
        <v/>
      </c>
      <c r="D51" s="4" t="n">
        <v>29.5</v>
      </c>
      <c r="E51" t="inlineStr">
        <is>
          <t>operating_model.net_income.0</t>
        </is>
      </c>
      <c r="F51" t="inlineStr">
        <is>
          <t>money, to 0.01</t>
        </is>
      </c>
    </row>
    <row r="52">
      <c r="A52" t="inlineStr">
        <is>
          <t>Y1 levered free cash flow (before repaying debt)</t>
        </is>
      </c>
      <c r="B52" t="inlineStr">
        <is>
          <t>fcf_1</t>
        </is>
      </c>
      <c r="C52" s="4">
        <f>$C$51+$C$29-$C$31-$C$32</f>
        <v/>
      </c>
      <c r="D52" s="4" t="n">
        <v>29.5</v>
      </c>
      <c r="E52" t="inlineStr">
        <is>
          <t>cash_flow.levered_fcf.0</t>
        </is>
      </c>
      <c r="F52" t="inlineStr">
        <is>
          <t>money, to 0.01</t>
        </is>
      </c>
    </row>
    <row r="53">
      <c r="A53" t="inlineStr">
        <is>
          <t>Y1 closing balance after the sweep</t>
        </is>
      </c>
      <c r="B53" t="inlineStr">
        <is>
          <t>bal_1</t>
        </is>
      </c>
      <c r="C53" s="4">
        <f>$C$45-$C$52</f>
        <v/>
      </c>
      <c r="D53" s="4" t="n">
        <v>370.5</v>
      </c>
      <c r="E53" t="inlineStr">
        <is>
          <t>tranches.Term loan.0.ending_balance</t>
        </is>
      </c>
      <c r="F53" t="inlineStr">
        <is>
          <t>money, to 0.01</t>
        </is>
      </c>
    </row>
    <row r="54">
      <c r="A54" t="inlineStr">
        <is>
          <t>Y2 interest deductible = min(interest + carried, the fixed cap)</t>
        </is>
      </c>
      <c r="B54" t="inlineStr">
        <is>
          <t>ded_2</t>
        </is>
      </c>
      <c r="C54" s="4">
        <f>MIN($C$53*$C$17+$C$47,$C$18)</f>
        <v/>
      </c>
      <c r="D54" s="4" t="n">
        <v>38</v>
      </c>
      <c r="E54" t="inlineStr">
        <is>
          <t>tax.interest_deductible.1</t>
        </is>
      </c>
      <c r="F54" t="inlineStr">
        <is>
          <t>money, to 0.01</t>
        </is>
      </c>
    </row>
    <row r="55">
      <c r="A55" t="inlineStr">
        <is>
          <t>Y2 interest carried forward</t>
        </is>
      </c>
      <c r="B55" t="inlineStr">
        <is>
          <t>carried_2</t>
        </is>
      </c>
      <c r="C55" s="4">
        <f>$C$53*$C$17+$C$47-$C$54</f>
        <v/>
      </c>
      <c r="D55" s="4" t="n">
        <v>1.050000000000004</v>
      </c>
      <c r="E55" t="inlineStr">
        <is>
          <t>tax.interest_carried.1</t>
        </is>
      </c>
      <c r="F55" t="inlineStr">
        <is>
          <t>money, to 0.01</t>
        </is>
      </c>
    </row>
    <row r="56">
      <c r="A56" t="inlineStr">
        <is>
          <t>Y2 interest expense</t>
        </is>
      </c>
      <c r="B56" t="inlineStr">
        <is>
          <t>int_2</t>
        </is>
      </c>
      <c r="C56" s="4">
        <f>$C$53*$C$17</f>
        <v/>
      </c>
      <c r="D56" s="4" t="n">
        <v>37.05</v>
      </c>
      <c r="E56" t="inlineStr">
        <is>
          <t>operating_model.interest_expense.1</t>
        </is>
      </c>
      <c r="F56" t="inlineStr">
        <is>
          <t>money, to 0.01</t>
        </is>
      </c>
    </row>
    <row r="57">
      <c r="A57" t="inlineStr">
        <is>
          <t>Y2 profit before tax = EBIT - interest + interest income</t>
        </is>
      </c>
      <c r="B57" t="inlineStr">
        <is>
          <t>ebt_2</t>
        </is>
      </c>
      <c r="C57" s="4">
        <f>$C$34-$C$56+0</f>
        <v/>
      </c>
      <c r="D57" s="4" t="n">
        <v>42.95</v>
      </c>
      <c r="E57" t="inlineStr">
        <is>
          <t>operating_model.ebt.1</t>
        </is>
      </c>
      <c r="F57" t="inlineStr">
        <is>
          <t>money, to 0.01</t>
        </is>
      </c>
    </row>
    <row r="58">
      <c r="A58" t="inlineStr">
        <is>
          <t>Y2 tax</t>
        </is>
      </c>
      <c r="B58" t="inlineStr">
        <is>
          <t>tax_2</t>
        </is>
      </c>
      <c r="C58" s="4">
        <f>MAX($C$34-$C$54,0)*$C$13</f>
        <v/>
      </c>
      <c r="D58" s="4" t="n">
        <v>10.5</v>
      </c>
      <c r="E58" t="inlineStr">
        <is>
          <t>operating_model.taxes.1</t>
        </is>
      </c>
      <c r="F58" t="inlineStr">
        <is>
          <t>money, to 0.01</t>
        </is>
      </c>
    </row>
    <row r="59">
      <c r="A59" t="inlineStr">
        <is>
          <t>Y2 net income</t>
        </is>
      </c>
      <c r="B59" t="inlineStr">
        <is>
          <t>ni_2</t>
        </is>
      </c>
      <c r="C59" s="4">
        <f>$C$57-$C$58</f>
        <v/>
      </c>
      <c r="D59" s="4" t="n">
        <v>32.45</v>
      </c>
      <c r="E59" t="inlineStr">
        <is>
          <t>operating_model.net_income.1</t>
        </is>
      </c>
      <c r="F59" t="inlineStr">
        <is>
          <t>money, to 0.01</t>
        </is>
      </c>
    </row>
    <row r="60">
      <c r="A60" t="inlineStr">
        <is>
          <t>Y2 levered free cash flow (before repaying debt)</t>
        </is>
      </c>
      <c r="B60" t="inlineStr">
        <is>
          <t>fcf_2</t>
        </is>
      </c>
      <c r="C60" s="4">
        <f>$C$59+$C$35-$C$37-$C$38</f>
        <v/>
      </c>
      <c r="D60" s="4" t="n">
        <v>32.45</v>
      </c>
      <c r="E60" t="inlineStr">
        <is>
          <t>cash_flow.levered_fcf.1</t>
        </is>
      </c>
      <c r="F60" t="inlineStr">
        <is>
          <t>money, to 0.01</t>
        </is>
      </c>
    </row>
    <row r="61">
      <c r="A61" t="inlineStr">
        <is>
          <t>Y2 closing balance after the sweep</t>
        </is>
      </c>
      <c r="B61" t="inlineStr">
        <is>
          <t>bal_2</t>
        </is>
      </c>
      <c r="C61" s="4">
        <f>$C$53-$C$60</f>
        <v/>
      </c>
      <c r="D61" s="4" t="n">
        <v>338.05</v>
      </c>
      <c r="E61" t="inlineStr">
        <is>
          <t>tranches.Term loan.1.ending_balance</t>
        </is>
      </c>
      <c r="F61" t="inlineStr">
        <is>
          <t>money, to 0.01</t>
        </is>
      </c>
    </row>
    <row r="62">
      <c r="A62" t="inlineStr">
        <is>
          <t>Y3 interest deductible = min(interest + carried, the fixed cap)</t>
        </is>
      </c>
      <c r="B62" t="inlineStr">
        <is>
          <t>ded_3</t>
        </is>
      </c>
      <c r="C62" s="4">
        <f>MIN($C$61*$C$17+$C$55,$C$18)</f>
        <v/>
      </c>
      <c r="D62" s="4" t="n">
        <v>34.855</v>
      </c>
      <c r="E62" t="inlineStr">
        <is>
          <t>tax.interest_deductible.2</t>
        </is>
      </c>
      <c r="F62" t="inlineStr">
        <is>
          <t>money, to 0.01</t>
        </is>
      </c>
    </row>
    <row r="63">
      <c r="A63" t="inlineStr">
        <is>
          <t>Y3 interest carried forward</t>
        </is>
      </c>
      <c r="B63" t="inlineStr">
        <is>
          <t>carried_3</t>
        </is>
      </c>
      <c r="C63" s="4">
        <f>$C$61*$C$17+$C$55-$C$62</f>
        <v/>
      </c>
      <c r="D63" s="4" t="n">
        <v>0</v>
      </c>
      <c r="E63" t="inlineStr">
        <is>
          <t>tax.interest_carried.2</t>
        </is>
      </c>
      <c r="F63" t="inlineStr">
        <is>
          <t>money, to 0.01</t>
        </is>
      </c>
    </row>
    <row r="64">
      <c r="A64" t="inlineStr">
        <is>
          <t>Y3 interest expense</t>
        </is>
      </c>
      <c r="B64" t="inlineStr">
        <is>
          <t>int_3</t>
        </is>
      </c>
      <c r="C64" s="4">
        <f>$C$61*$C$17</f>
        <v/>
      </c>
      <c r="D64" s="4" t="n">
        <v>33.805</v>
      </c>
      <c r="E64" t="inlineStr">
        <is>
          <t>operating_model.interest_expense.2</t>
        </is>
      </c>
      <c r="F64" t="inlineStr">
        <is>
          <t>money, to 0.01</t>
        </is>
      </c>
    </row>
    <row r="65">
      <c r="A65" t="inlineStr">
        <is>
          <t>Y3 profit before tax = EBIT - interest + interest income</t>
        </is>
      </c>
      <c r="B65" t="inlineStr">
        <is>
          <t>ebt_3</t>
        </is>
      </c>
      <c r="C65" s="4">
        <f>$C$40-$C$64+0</f>
        <v/>
      </c>
      <c r="D65" s="4" t="n">
        <v>46.195</v>
      </c>
      <c r="E65" t="inlineStr">
        <is>
          <t>operating_model.ebt.2</t>
        </is>
      </c>
      <c r="F65" t="inlineStr">
        <is>
          <t>money, to 0.01</t>
        </is>
      </c>
    </row>
    <row r="66">
      <c r="A66" t="inlineStr">
        <is>
          <t>Y3 tax</t>
        </is>
      </c>
      <c r="B66" t="inlineStr">
        <is>
          <t>tax_3</t>
        </is>
      </c>
      <c r="C66" s="4">
        <f>MAX($C$40-$C$62,0)*$C$13</f>
        <v/>
      </c>
      <c r="D66" s="4" t="n">
        <v>11.28625</v>
      </c>
      <c r="E66" t="inlineStr">
        <is>
          <t>operating_model.taxes.2</t>
        </is>
      </c>
      <c r="F66" t="inlineStr">
        <is>
          <t>money, to 0.01</t>
        </is>
      </c>
    </row>
    <row r="67">
      <c r="A67" t="inlineStr">
        <is>
          <t>Y3 net income</t>
        </is>
      </c>
      <c r="B67" t="inlineStr">
        <is>
          <t>ni_3</t>
        </is>
      </c>
      <c r="C67" s="4">
        <f>$C$65-$C$66</f>
        <v/>
      </c>
      <c r="D67" s="4" t="n">
        <v>34.90875</v>
      </c>
      <c r="E67" t="inlineStr">
        <is>
          <t>operating_model.net_income.2</t>
        </is>
      </c>
      <c r="F67" t="inlineStr">
        <is>
          <t>money, to 0.01</t>
        </is>
      </c>
    </row>
    <row r="68">
      <c r="A68" t="inlineStr">
        <is>
          <t>Y3 levered free cash flow (before repaying debt)</t>
        </is>
      </c>
      <c r="B68" t="inlineStr">
        <is>
          <t>fcf_3</t>
        </is>
      </c>
      <c r="C68" s="4">
        <f>$C$67+$C$41-$C$43-$C$44</f>
        <v/>
      </c>
      <c r="D68" s="4" t="n">
        <v>34.90875</v>
      </c>
      <c r="E68" t="inlineStr">
        <is>
          <t>cash_flow.levered_fcf.2</t>
        </is>
      </c>
      <c r="F68" t="inlineStr">
        <is>
          <t>money, to 0.01</t>
        </is>
      </c>
    </row>
    <row r="69">
      <c r="A69" t="inlineStr">
        <is>
          <t>Y3 closing balance after the sweep</t>
        </is>
      </c>
      <c r="B69" t="inlineStr">
        <is>
          <t>bal_3</t>
        </is>
      </c>
      <c r="C69" s="4">
        <f>$C$61-$C$68</f>
        <v/>
      </c>
      <c r="D69" s="4" t="n">
        <v>303.14125</v>
      </c>
      <c r="E69" t="inlineStr">
        <is>
          <t>tranches.Term loan.2.ending_balance</t>
        </is>
      </c>
      <c r="F69" t="inlineStr">
        <is>
          <t>money, to 0.01</t>
        </is>
      </c>
    </row>
    <row r="70">
      <c r="A70" t="inlineStr">
        <is>
          <t>Net debt at exit (debt - cash + lease liability)</t>
        </is>
      </c>
      <c r="B70" t="inlineStr">
        <is>
          <t>net_debt_exit</t>
        </is>
      </c>
      <c r="C70" s="4">
        <f>$C$69</f>
        <v/>
      </c>
      <c r="D70" s="4" t="n">
        <v>303.14125</v>
      </c>
      <c r="E70" t="inlineStr">
        <is>
          <t>returns.net_debt_at_exit</t>
        </is>
      </c>
      <c r="F70" t="inlineStr">
        <is>
          <t>money, to 0.01</t>
        </is>
      </c>
    </row>
    <row r="71">
      <c r="A71" t="inlineStr">
        <is>
          <t>Exit EV = (final-year EBITDA + lease add-back) x exit multiple</t>
        </is>
      </c>
      <c r="B71" t="inlineStr">
        <is>
          <t>exit_ev</t>
        </is>
      </c>
      <c r="C71" s="4">
        <f>($C$42+0)*$C$15</f>
        <v/>
      </c>
      <c r="D71" s="4" t="n">
        <v>800</v>
      </c>
      <c r="E71" t="inlineStr">
        <is>
          <t>returns.exit_ev</t>
        </is>
      </c>
      <c r="F71" t="inlineStr">
        <is>
          <t>money, to 0.01</t>
        </is>
      </c>
    </row>
    <row r="72">
      <c r="A72" t="inlineStr">
        <is>
          <t>Exit equity = exit EV - net debt</t>
        </is>
      </c>
      <c r="B72" t="inlineStr">
        <is>
          <t>exit_equity</t>
        </is>
      </c>
      <c r="C72" s="4">
        <f>$C$71-$C$70</f>
        <v/>
      </c>
      <c r="D72" s="4" t="n">
        <v>496.85875</v>
      </c>
      <c r="E72" t="inlineStr">
        <is>
          <t>returns.net_exit_equity</t>
        </is>
      </c>
      <c r="F72" t="inlineStr">
        <is>
          <t>money, to 0.01</t>
        </is>
      </c>
    </row>
    <row r="73">
      <c r="A73" t="inlineStr">
        <is>
          <t>MOIC = exit equity / entry equity</t>
        </is>
      </c>
      <c r="B73" t="inlineStr">
        <is>
          <t>moic</t>
        </is>
      </c>
      <c r="C73" s="5">
        <f>$C$72/$C$25</f>
        <v/>
      </c>
      <c r="D73" s="5" t="n">
        <v>1.242146875</v>
      </c>
      <c r="E73" t="inlineStr">
        <is>
          <t>returns.moic</t>
        </is>
      </c>
      <c r="F73" t="inlineStr">
        <is>
          <t>multiple, to 0.01</t>
        </is>
      </c>
    </row>
    <row r="74">
      <c r="A74" t="inlineStr">
        <is>
          <t>IRR = MOIC ^ (1 / years) - 1</t>
        </is>
      </c>
      <c r="B74" t="inlineStr">
        <is>
          <t>irr</t>
        </is>
      </c>
      <c r="C74" s="6">
        <f>$C$73^(1/$C$16)-1</f>
        <v/>
      </c>
      <c r="D74" s="6" t="n">
        <v>0.07495673162787542</v>
      </c>
      <c r="E74" t="inlineStr">
        <is>
          <t>returns.irr</t>
        </is>
      </c>
      <c r="F74" t="inlineStr">
        <is>
          <t>per cent, to 0.01</t>
        </is>
      </c>
    </row>
    <row r="76">
      <c r="A76" s="3" t="inlineStr">
        <is>
          <t>Headline answers, typed by hand</t>
        </is>
      </c>
    </row>
    <row r="77">
      <c r="A77" t="inlineStr">
        <is>
          <t>Sponsor equity = EV + costs + minimum cash - debt - lease liability</t>
        </is>
      </c>
      <c r="B77" t="inlineStr">
        <is>
          <t>equity</t>
        </is>
      </c>
      <c r="D77" s="4" t="n">
        <v>400</v>
      </c>
    </row>
    <row r="78">
      <c r="A78" t="inlineStr">
        <is>
          <t>Exit equity = exit EV - net debt</t>
        </is>
      </c>
      <c r="B78" t="inlineStr">
        <is>
          <t>exit_equity</t>
        </is>
      </c>
      <c r="D78" s="4" t="n">
        <v>496.85875</v>
      </c>
    </row>
  </sheetData>
  <mergeCells count="1">
    <mergeCell ref="A3:F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16. Tax loss carried forward</t>
        </is>
      </c>
    </row>
    <row r="2">
      <c r="A2" t="inlineStr">
        <is>
          <t>Covers: tax losses</t>
        </is>
      </c>
    </row>
    <row r="3" ht="90" customHeight="1">
      <c r="A3" s="2" t="inlineStr">
        <is>
          <t>Growing 10% a year with capex at 3%, carrying 750 of notes at 12% (90 a year). Year 1 EBIT 88 is a loss of 2, carried forward. Year 2's profit of 6.8 absorbs it, so tax is 25% of 4.8 = 1.2 instead of 1.7. Year 3 pays in full on 16.48.</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0.1</v>
      </c>
    </row>
    <row r="11">
      <c r="A11" t="inlineStr">
        <is>
          <t>capex</t>
        </is>
      </c>
      <c r="B11" t="inlineStr">
        <is>
          <t>capex</t>
        </is>
      </c>
      <c r="C11" t="n">
        <v>0.03</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0.12</v>
      </c>
    </row>
    <row r="19">
      <c r="A19" s="3" t="inlineStr">
        <is>
          <t>Working</t>
        </is>
      </c>
      <c r="B19" s="3" t="inlineStr">
        <is>
          <t>Name</t>
        </is>
      </c>
      <c r="C19" s="3" t="inlineStr">
        <is>
          <t>Formula</t>
        </is>
      </c>
      <c r="D19" s="3" t="inlineStr">
        <is>
          <t>Comes to</t>
        </is>
      </c>
      <c r="E19" s="3" t="inlineStr">
        <is>
          <t>Engine figure it must match</t>
        </is>
      </c>
      <c r="F19" s="3" t="inlineStr">
        <is>
          <t>Compared as</t>
        </is>
      </c>
    </row>
    <row r="20">
      <c r="A20" t="inlineStr">
        <is>
          <t>Operating EBITDA (what the model grows)</t>
        </is>
      </c>
      <c r="B20" t="inlineStr">
        <is>
          <t>op_ebitda</t>
        </is>
      </c>
      <c r="C20" s="4">
        <f>$C$6</f>
        <v/>
      </c>
      <c r="D20" s="4" t="n">
        <v>100</v>
      </c>
    </row>
    <row r="21">
      <c r="A21" t="inlineStr">
        <is>
          <t>Entry EV = (EBITDA + lease add-back) x entry multiple</t>
        </is>
      </c>
      <c r="B21" t="inlineStr">
        <is>
          <t>ev</t>
        </is>
      </c>
      <c r="C21" s="4">
        <f>($C$20+0)*$C$14</f>
        <v/>
      </c>
      <c r="D21" s="4" t="n">
        <v>800</v>
      </c>
    </row>
    <row r="22">
      <c r="A22" t="inlineStr">
        <is>
          <t>Debt drawn at close</t>
        </is>
      </c>
      <c r="B22" t="inlineStr">
        <is>
          <t>debt</t>
        </is>
      </c>
      <c r="C22" s="4">
        <f>750</f>
        <v/>
      </c>
      <c r="D22" s="4" t="n">
        <v>750</v>
      </c>
    </row>
    <row r="23">
      <c r="A23" t="inlineStr">
        <is>
          <t>Entry costs (fees and other uses)</t>
        </is>
      </c>
      <c r="B23" t="inlineStr">
        <is>
          <t>costs</t>
        </is>
      </c>
      <c r="C23" s="4">
        <f>0</f>
        <v/>
      </c>
      <c r="D23" s="4" t="n">
        <v>0</v>
      </c>
    </row>
    <row r="24">
      <c r="A24" t="inlineStr">
        <is>
          <t>Sponsor equity = EV + costs + minimum cash - debt - lease liability</t>
        </is>
      </c>
      <c r="B24" t="inlineStr">
        <is>
          <t>equity</t>
        </is>
      </c>
      <c r="C24" s="4">
        <f>$C$21+$C$23+0-$C$22-0</f>
        <v/>
      </c>
      <c r="D24" s="4" t="n">
        <v>50</v>
      </c>
      <c r="E24" t="inlineStr">
        <is>
          <t>returns.entry_equity</t>
        </is>
      </c>
      <c r="F24" t="inlineStr">
        <is>
          <t>money, to 0.01</t>
        </is>
      </c>
    </row>
    <row r="25">
      <c r="A25" t="inlineStr">
        <is>
          <t>Base revenue = EBITDA / (gross margin - opex + D&amp;A)</t>
        </is>
      </c>
      <c r="B25" t="inlineStr">
        <is>
          <t>rev_0</t>
        </is>
      </c>
      <c r="C25" s="4">
        <f>$C$6/($C$7-$C$8+$C$9)</f>
        <v/>
      </c>
      <c r="D25" s="4" t="n">
        <v>400</v>
      </c>
    </row>
    <row r="26">
      <c r="A26" t="inlineStr">
        <is>
          <t>Y1 revenue</t>
        </is>
      </c>
      <c r="B26" t="inlineStr">
        <is>
          <t>rev_1</t>
        </is>
      </c>
      <c r="C26" s="4">
        <f>$C$25*(1+$C$10)</f>
        <v/>
      </c>
      <c r="D26" s="4" t="n">
        <v>440.0000000000001</v>
      </c>
      <c r="E26" t="inlineStr">
        <is>
          <t>operating_model.revenue.0</t>
        </is>
      </c>
      <c r="F26" t="inlineStr">
        <is>
          <t>money, to 0.01</t>
        </is>
      </c>
    </row>
    <row r="27">
      <c r="A27" t="inlineStr">
        <is>
          <t>Y1 EBIT = revenue x (gross margin - opex)</t>
        </is>
      </c>
      <c r="B27" t="inlineStr">
        <is>
          <t>ebit_1</t>
        </is>
      </c>
      <c r="C27" s="4">
        <f>$C$26*($C$7-$C$8)</f>
        <v/>
      </c>
      <c r="D27" s="4" t="n">
        <v>88.00000000000001</v>
      </c>
      <c r="E27" t="inlineStr">
        <is>
          <t>operating_model.ebit.0</t>
        </is>
      </c>
      <c r="F27" t="inlineStr">
        <is>
          <t>money, to 0.01</t>
        </is>
      </c>
    </row>
    <row r="28">
      <c r="A28" t="inlineStr">
        <is>
          <t>Y1 D&amp;A</t>
        </is>
      </c>
      <c r="B28" t="inlineStr">
        <is>
          <t>da_1</t>
        </is>
      </c>
      <c r="C28" s="4">
        <f>$C$26*$C$9</f>
        <v/>
      </c>
      <c r="D28" s="4" t="n">
        <v>22</v>
      </c>
      <c r="E28" t="inlineStr">
        <is>
          <t>operating_model.da.0</t>
        </is>
      </c>
      <c r="F28" t="inlineStr">
        <is>
          <t>money, to 0.01</t>
        </is>
      </c>
    </row>
    <row r="29">
      <c r="A29" t="inlineStr">
        <is>
          <t>Y1 EBITDA</t>
        </is>
      </c>
      <c r="B29" t="inlineStr">
        <is>
          <t>ebitda_1</t>
        </is>
      </c>
      <c r="C29" s="4">
        <f>$C$27+$C$28</f>
        <v/>
      </c>
      <c r="D29" s="4" t="n">
        <v>110</v>
      </c>
      <c r="E29" t="inlineStr">
        <is>
          <t>operating_model.ebitda.0</t>
        </is>
      </c>
      <c r="F29" t="inlineStr">
        <is>
          <t>money, to 0.01</t>
        </is>
      </c>
    </row>
    <row r="30">
      <c r="A30" t="inlineStr">
        <is>
          <t>Y1 capex</t>
        </is>
      </c>
      <c r="B30" t="inlineStr">
        <is>
          <t>capex_1</t>
        </is>
      </c>
      <c r="C30" s="4">
        <f>$C$26*$C$11</f>
        <v/>
      </c>
      <c r="D30" s="4" t="n">
        <v>13.2</v>
      </c>
      <c r="E30" t="inlineStr">
        <is>
          <t>cash_flow.capex.0</t>
        </is>
      </c>
      <c r="F30" t="inlineStr">
        <is>
          <t>money, to 0.01</t>
        </is>
      </c>
    </row>
    <row r="31">
      <c r="A31" t="inlineStr">
        <is>
          <t>Y1 change in working capital</t>
        </is>
      </c>
      <c r="B31" t="inlineStr">
        <is>
          <t>dnwc_1</t>
        </is>
      </c>
      <c r="C31" s="4">
        <f>$C$26*$C$12</f>
        <v/>
      </c>
      <c r="D31" s="4" t="n">
        <v>0</v>
      </c>
      <c r="E31" t="inlineStr">
        <is>
          <t>cash_flow.delta_nwc.0</t>
        </is>
      </c>
      <c r="F31" t="inlineStr">
        <is>
          <t>money, to 0.01</t>
        </is>
      </c>
    </row>
    <row r="32">
      <c r="A32" t="inlineStr">
        <is>
          <t>Y2 revenue</t>
        </is>
      </c>
      <c r="B32" t="inlineStr">
        <is>
          <t>rev_2</t>
        </is>
      </c>
      <c r="C32" s="4">
        <f>$C$26*(1+$C$10)</f>
        <v/>
      </c>
      <c r="D32" s="4" t="n">
        <v>484.0000000000001</v>
      </c>
      <c r="E32" t="inlineStr">
        <is>
          <t>operating_model.revenue.1</t>
        </is>
      </c>
      <c r="F32" t="inlineStr">
        <is>
          <t>money, to 0.01</t>
        </is>
      </c>
    </row>
    <row r="33">
      <c r="A33" t="inlineStr">
        <is>
          <t>Y2 EBIT = revenue x (gross margin - opex)</t>
        </is>
      </c>
      <c r="B33" t="inlineStr">
        <is>
          <t>ebit_2</t>
        </is>
      </c>
      <c r="C33" s="4">
        <f>$C$32*($C$7-$C$8)</f>
        <v/>
      </c>
      <c r="D33" s="4" t="n">
        <v>96.80000000000003</v>
      </c>
      <c r="E33" t="inlineStr">
        <is>
          <t>operating_model.ebit.1</t>
        </is>
      </c>
      <c r="F33" t="inlineStr">
        <is>
          <t>money, to 0.01</t>
        </is>
      </c>
    </row>
    <row r="34">
      <c r="A34" t="inlineStr">
        <is>
          <t>Y2 D&amp;A</t>
        </is>
      </c>
      <c r="B34" t="inlineStr">
        <is>
          <t>da_2</t>
        </is>
      </c>
      <c r="C34" s="4">
        <f>$C$32*$C$9</f>
        <v/>
      </c>
      <c r="D34" s="4" t="n">
        <v>24.20000000000001</v>
      </c>
      <c r="E34" t="inlineStr">
        <is>
          <t>operating_model.da.1</t>
        </is>
      </c>
      <c r="F34" t="inlineStr">
        <is>
          <t>money, to 0.01</t>
        </is>
      </c>
    </row>
    <row r="35">
      <c r="A35" t="inlineStr">
        <is>
          <t>Y2 EBITDA</t>
        </is>
      </c>
      <c r="B35" t="inlineStr">
        <is>
          <t>ebitda_2</t>
        </is>
      </c>
      <c r="C35" s="4">
        <f>$C$33+$C$34</f>
        <v/>
      </c>
      <c r="D35" s="4" t="n">
        <v>121</v>
      </c>
      <c r="E35" t="inlineStr">
        <is>
          <t>operating_model.ebitda.1</t>
        </is>
      </c>
      <c r="F35" t="inlineStr">
        <is>
          <t>money, to 0.01</t>
        </is>
      </c>
    </row>
    <row r="36">
      <c r="A36" t="inlineStr">
        <is>
          <t>Y2 capex</t>
        </is>
      </c>
      <c r="B36" t="inlineStr">
        <is>
          <t>capex_2</t>
        </is>
      </c>
      <c r="C36" s="4">
        <f>$C$32*$C$11</f>
        <v/>
      </c>
      <c r="D36" s="4" t="n">
        <v>14.52</v>
      </c>
      <c r="E36" t="inlineStr">
        <is>
          <t>cash_flow.capex.1</t>
        </is>
      </c>
      <c r="F36" t="inlineStr">
        <is>
          <t>money, to 0.01</t>
        </is>
      </c>
    </row>
    <row r="37">
      <c r="A37" t="inlineStr">
        <is>
          <t>Y2 change in working capital</t>
        </is>
      </c>
      <c r="B37" t="inlineStr">
        <is>
          <t>dnwc_2</t>
        </is>
      </c>
      <c r="C37" s="4">
        <f>$C$32*$C$12</f>
        <v/>
      </c>
      <c r="D37" s="4" t="n">
        <v>0</v>
      </c>
      <c r="E37" t="inlineStr">
        <is>
          <t>cash_flow.delta_nwc.1</t>
        </is>
      </c>
      <c r="F37" t="inlineStr">
        <is>
          <t>money, to 0.01</t>
        </is>
      </c>
    </row>
    <row r="38">
      <c r="A38" t="inlineStr">
        <is>
          <t>Y3 revenue</t>
        </is>
      </c>
      <c r="B38" t="inlineStr">
        <is>
          <t>rev_3</t>
        </is>
      </c>
      <c r="C38" s="4">
        <f>$C$32*(1+$C$10)</f>
        <v/>
      </c>
      <c r="D38" s="4" t="n">
        <v>532.4000000000002</v>
      </c>
      <c r="E38" t="inlineStr">
        <is>
          <t>operating_model.revenue.2</t>
        </is>
      </c>
      <c r="F38" t="inlineStr">
        <is>
          <t>money, to 0.01</t>
        </is>
      </c>
    </row>
    <row r="39">
      <c r="A39" t="inlineStr">
        <is>
          <t>Y3 EBIT = revenue x (gross margin - opex)</t>
        </is>
      </c>
      <c r="B39" t="inlineStr">
        <is>
          <t>ebit_3</t>
        </is>
      </c>
      <c r="C39" s="4">
        <f>$C$38*($C$7-$C$8)</f>
        <v/>
      </c>
      <c r="D39" s="4" t="n">
        <v>106.48</v>
      </c>
      <c r="E39" t="inlineStr">
        <is>
          <t>operating_model.ebit.2</t>
        </is>
      </c>
      <c r="F39" t="inlineStr">
        <is>
          <t>money, to 0.01</t>
        </is>
      </c>
    </row>
    <row r="40">
      <c r="A40" t="inlineStr">
        <is>
          <t>Y3 D&amp;A</t>
        </is>
      </c>
      <c r="B40" t="inlineStr">
        <is>
          <t>da_3</t>
        </is>
      </c>
      <c r="C40" s="4">
        <f>$C$38*$C$9</f>
        <v/>
      </c>
      <c r="D40" s="4" t="n">
        <v>26.62000000000001</v>
      </c>
      <c r="E40" t="inlineStr">
        <is>
          <t>operating_model.da.2</t>
        </is>
      </c>
      <c r="F40" t="inlineStr">
        <is>
          <t>money, to 0.01</t>
        </is>
      </c>
    </row>
    <row r="41">
      <c r="A41" t="inlineStr">
        <is>
          <t>Y3 EBITDA</t>
        </is>
      </c>
      <c r="B41" t="inlineStr">
        <is>
          <t>ebitda_3</t>
        </is>
      </c>
      <c r="C41" s="4">
        <f>$C$39+$C$40</f>
        <v/>
      </c>
      <c r="D41" s="4" t="n">
        <v>133.1000000000001</v>
      </c>
      <c r="E41" t="inlineStr">
        <is>
          <t>operating_model.ebitda.2</t>
        </is>
      </c>
      <c r="F41" t="inlineStr">
        <is>
          <t>money, to 0.01</t>
        </is>
      </c>
    </row>
    <row r="42">
      <c r="A42" t="inlineStr">
        <is>
          <t>Y3 capex</t>
        </is>
      </c>
      <c r="B42" t="inlineStr">
        <is>
          <t>capex_3</t>
        </is>
      </c>
      <c r="C42" s="4">
        <f>$C$38*$C$11</f>
        <v/>
      </c>
      <c r="D42" s="4" t="n">
        <v>15.972</v>
      </c>
      <c r="E42" t="inlineStr">
        <is>
          <t>cash_flow.capex.2</t>
        </is>
      </c>
      <c r="F42" t="inlineStr">
        <is>
          <t>money, to 0.01</t>
        </is>
      </c>
    </row>
    <row r="43">
      <c r="A43" t="inlineStr">
        <is>
          <t>Y3 change in working capital</t>
        </is>
      </c>
      <c r="B43" t="inlineStr">
        <is>
          <t>dnwc_3</t>
        </is>
      </c>
      <c r="C43" s="4">
        <f>$C$38*$C$12</f>
        <v/>
      </c>
      <c r="D43" s="4" t="n">
        <v>0</v>
      </c>
      <c r="E43" t="inlineStr">
        <is>
          <t>cash_flow.delta_nwc.2</t>
        </is>
      </c>
      <c r="F43" t="inlineStr">
        <is>
          <t>money, to 0.01</t>
        </is>
      </c>
    </row>
    <row r="44">
      <c r="A44" t="inlineStr">
        <is>
          <t>Y1 profit for tax = EBIT - interest</t>
        </is>
      </c>
      <c r="B44" t="inlineStr">
        <is>
          <t>profit_1</t>
        </is>
      </c>
      <c r="C44" s="4">
        <f>$C$27-$C$22*$C$17</f>
        <v/>
      </c>
      <c r="D44" s="4" t="n">
        <v>-1.999999999999986</v>
      </c>
    </row>
    <row r="45">
      <c r="A45" t="inlineStr">
        <is>
          <t>Y1 most this year's profit may absorb</t>
        </is>
      </c>
      <c r="B45" t="inlineStr">
        <is>
          <t>limit_1</t>
        </is>
      </c>
      <c r="C45" s="4">
        <f>MAX($C$44,0)</f>
        <v/>
      </c>
      <c r="D45" s="4" t="n">
        <v>0</v>
      </c>
    </row>
    <row r="46">
      <c r="A46" t="inlineStr">
        <is>
          <t>Y1 losses used</t>
        </is>
      </c>
      <c r="B46" t="inlineStr">
        <is>
          <t>used_1</t>
        </is>
      </c>
      <c r="C46" s="4">
        <f>MIN(0,$C$45)</f>
        <v/>
      </c>
      <c r="D46" s="4" t="n">
        <v>0</v>
      </c>
      <c r="E46" t="inlineStr">
        <is>
          <t>tax.losses_used.0</t>
        </is>
      </c>
      <c r="F46" t="inlineStr">
        <is>
          <t>money, to 0.01</t>
        </is>
      </c>
    </row>
    <row r="47">
      <c r="A47" t="inlineStr">
        <is>
          <t>Y1 losses carried forward</t>
        </is>
      </c>
      <c r="B47" t="inlineStr">
        <is>
          <t>loss_1</t>
        </is>
      </c>
      <c r="C47" s="4">
        <f>0-$C$46+MAX(0-$C$44,0)</f>
        <v/>
      </c>
      <c r="D47" s="4" t="n">
        <v>1.999999999999986</v>
      </c>
      <c r="E47" t="inlineStr">
        <is>
          <t>tax.losses_carried.0</t>
        </is>
      </c>
      <c r="F47" t="inlineStr">
        <is>
          <t>money, to 0.01</t>
        </is>
      </c>
    </row>
    <row r="48">
      <c r="A48" t="inlineStr">
        <is>
          <t>Y1 taxable income</t>
        </is>
      </c>
      <c r="B48" t="inlineStr">
        <is>
          <t>taxable_1</t>
        </is>
      </c>
      <c r="C48" s="4">
        <f>MAX($C$44,0)-$C$46</f>
        <v/>
      </c>
      <c r="D48" s="4" t="n">
        <v>0</v>
      </c>
      <c r="E48" t="inlineStr">
        <is>
          <t>tax.taxable_income.0</t>
        </is>
      </c>
      <c r="F48" t="inlineStr">
        <is>
          <t>money, to 0.01</t>
        </is>
      </c>
    </row>
    <row r="49">
      <c r="A49" t="inlineStr">
        <is>
          <t>Y1 interest expense</t>
        </is>
      </c>
      <c r="B49" t="inlineStr">
        <is>
          <t>int_1</t>
        </is>
      </c>
      <c r="C49" s="4">
        <f>$C$22*$C$17</f>
        <v/>
      </c>
      <c r="D49" s="4" t="n">
        <v>90</v>
      </c>
      <c r="E49" t="inlineStr">
        <is>
          <t>operating_model.interest_expense.0</t>
        </is>
      </c>
      <c r="F49" t="inlineStr">
        <is>
          <t>money, to 0.01</t>
        </is>
      </c>
    </row>
    <row r="50">
      <c r="A50" t="inlineStr">
        <is>
          <t>Y1 profit before tax = EBIT - interest + interest income</t>
        </is>
      </c>
      <c r="B50" t="inlineStr">
        <is>
          <t>ebt_1</t>
        </is>
      </c>
      <c r="C50" s="4">
        <f>$C$27-$C$49+0</f>
        <v/>
      </c>
      <c r="D50" s="4" t="n">
        <v>-1.999999999999986</v>
      </c>
      <c r="E50" t="inlineStr">
        <is>
          <t>operating_model.ebt.0</t>
        </is>
      </c>
      <c r="F50" t="inlineStr">
        <is>
          <t>money, to 0.01</t>
        </is>
      </c>
    </row>
    <row r="51">
      <c r="A51" t="inlineStr">
        <is>
          <t>Y1 tax</t>
        </is>
      </c>
      <c r="B51" t="inlineStr">
        <is>
          <t>tax_1</t>
        </is>
      </c>
      <c r="C51" s="4">
        <f>$C$48*$C$13</f>
        <v/>
      </c>
      <c r="D51" s="4" t="n">
        <v>0</v>
      </c>
      <c r="E51" t="inlineStr">
        <is>
          <t>operating_model.taxes.0</t>
        </is>
      </c>
      <c r="F51" t="inlineStr">
        <is>
          <t>money, to 0.01</t>
        </is>
      </c>
    </row>
    <row r="52">
      <c r="A52" t="inlineStr">
        <is>
          <t>Y1 net income</t>
        </is>
      </c>
      <c r="B52" t="inlineStr">
        <is>
          <t>ni_1</t>
        </is>
      </c>
      <c r="C52" s="4">
        <f>$C$50-$C$51</f>
        <v/>
      </c>
      <c r="D52" s="4" t="n">
        <v>-1.999999999999986</v>
      </c>
      <c r="E52" t="inlineStr">
        <is>
          <t>operating_model.net_income.0</t>
        </is>
      </c>
      <c r="F52" t="inlineStr">
        <is>
          <t>money, to 0.01</t>
        </is>
      </c>
    </row>
    <row r="53">
      <c r="A53" t="inlineStr">
        <is>
          <t>Y1 levered free cash flow (before repaying debt)</t>
        </is>
      </c>
      <c r="B53" t="inlineStr">
        <is>
          <t>fcf_1</t>
        </is>
      </c>
      <c r="C53" s="4">
        <f>$C$52+$C$28-$C$30-$C$31</f>
        <v/>
      </c>
      <c r="D53" s="4" t="n">
        <v>6.800000000000017</v>
      </c>
      <c r="E53" t="inlineStr">
        <is>
          <t>cash_flow.levered_fcf.0</t>
        </is>
      </c>
      <c r="F53" t="inlineStr">
        <is>
          <t>money, to 0.01</t>
        </is>
      </c>
    </row>
    <row r="54">
      <c r="A54" t="inlineStr">
        <is>
          <t>Y1 closing cash</t>
        </is>
      </c>
      <c r="B54" t="inlineStr">
        <is>
          <t>cash_1</t>
        </is>
      </c>
      <c r="C54" s="4">
        <f>0+$C$53</f>
        <v/>
      </c>
      <c r="D54" s="4" t="n">
        <v>6.800000000000017</v>
      </c>
      <c r="E54" t="inlineStr">
        <is>
          <t>debt_schedule.cash_balance.0</t>
        </is>
      </c>
      <c r="F54" t="inlineStr">
        <is>
          <t>money, to 0.01</t>
        </is>
      </c>
    </row>
    <row r="55">
      <c r="A55" t="inlineStr">
        <is>
          <t>Y2 profit for tax = EBIT - interest</t>
        </is>
      </c>
      <c r="B55" t="inlineStr">
        <is>
          <t>profit_2</t>
        </is>
      </c>
      <c r="C55" s="4">
        <f>$C$33-$C$22*$C$17</f>
        <v/>
      </c>
      <c r="D55" s="4" t="n">
        <v>6.800000000000026</v>
      </c>
    </row>
    <row r="56">
      <c r="A56" t="inlineStr">
        <is>
          <t>Y2 most this year's profit may absorb</t>
        </is>
      </c>
      <c r="B56" t="inlineStr">
        <is>
          <t>limit_2</t>
        </is>
      </c>
      <c r="C56" s="4">
        <f>MAX($C$55,0)</f>
        <v/>
      </c>
      <c r="D56" s="4" t="n">
        <v>6.800000000000026</v>
      </c>
    </row>
    <row r="57">
      <c r="A57" t="inlineStr">
        <is>
          <t>Y2 losses used</t>
        </is>
      </c>
      <c r="B57" t="inlineStr">
        <is>
          <t>used_2</t>
        </is>
      </c>
      <c r="C57" s="4">
        <f>MIN($C$47,$C$56)</f>
        <v/>
      </c>
      <c r="D57" s="4" t="n">
        <v>1.999999999999986</v>
      </c>
      <c r="E57" t="inlineStr">
        <is>
          <t>tax.losses_used.1</t>
        </is>
      </c>
      <c r="F57" t="inlineStr">
        <is>
          <t>money, to 0.01</t>
        </is>
      </c>
    </row>
    <row r="58">
      <c r="A58" t="inlineStr">
        <is>
          <t>Y2 losses carried forward</t>
        </is>
      </c>
      <c r="B58" t="inlineStr">
        <is>
          <t>loss_2</t>
        </is>
      </c>
      <c r="C58" s="4">
        <f>$C$47-$C$57+MAX(0-$C$55,0)</f>
        <v/>
      </c>
      <c r="D58" s="4" t="n">
        <v>0</v>
      </c>
      <c r="E58" t="inlineStr">
        <is>
          <t>tax.losses_carried.1</t>
        </is>
      </c>
      <c r="F58" t="inlineStr">
        <is>
          <t>money, to 0.01</t>
        </is>
      </c>
    </row>
    <row r="59">
      <c r="A59" t="inlineStr">
        <is>
          <t>Y2 taxable income</t>
        </is>
      </c>
      <c r="B59" t="inlineStr">
        <is>
          <t>taxable_2</t>
        </is>
      </c>
      <c r="C59" s="4">
        <f>MAX($C$55,0)-$C$57</f>
        <v/>
      </c>
      <c r="D59" s="4" t="n">
        <v>4.80000000000004</v>
      </c>
      <c r="E59" t="inlineStr">
        <is>
          <t>tax.taxable_income.1</t>
        </is>
      </c>
      <c r="F59" t="inlineStr">
        <is>
          <t>money, to 0.01</t>
        </is>
      </c>
    </row>
    <row r="60">
      <c r="A60" t="inlineStr">
        <is>
          <t>Y2 interest expense</t>
        </is>
      </c>
      <c r="B60" t="inlineStr">
        <is>
          <t>int_2</t>
        </is>
      </c>
      <c r="C60" s="4">
        <f>$C$22*$C$17</f>
        <v/>
      </c>
      <c r="D60" s="4" t="n">
        <v>90</v>
      </c>
      <c r="E60" t="inlineStr">
        <is>
          <t>operating_model.interest_expense.1</t>
        </is>
      </c>
      <c r="F60" t="inlineStr">
        <is>
          <t>money, to 0.01</t>
        </is>
      </c>
    </row>
    <row r="61">
      <c r="A61" t="inlineStr">
        <is>
          <t>Y2 profit before tax = EBIT - interest + interest income</t>
        </is>
      </c>
      <c r="B61" t="inlineStr">
        <is>
          <t>ebt_2</t>
        </is>
      </c>
      <c r="C61" s="4">
        <f>$C$33-$C$60+0</f>
        <v/>
      </c>
      <c r="D61" s="4" t="n">
        <v>6.800000000000026</v>
      </c>
      <c r="E61" t="inlineStr">
        <is>
          <t>operating_model.ebt.1</t>
        </is>
      </c>
      <c r="F61" t="inlineStr">
        <is>
          <t>money, to 0.01</t>
        </is>
      </c>
    </row>
    <row r="62">
      <c r="A62" t="inlineStr">
        <is>
          <t>Y2 tax</t>
        </is>
      </c>
      <c r="B62" t="inlineStr">
        <is>
          <t>tax_2</t>
        </is>
      </c>
      <c r="C62" s="4">
        <f>$C$59*$C$13</f>
        <v/>
      </c>
      <c r="D62" s="4" t="n">
        <v>1.20000000000001</v>
      </c>
      <c r="E62" t="inlineStr">
        <is>
          <t>operating_model.taxes.1</t>
        </is>
      </c>
      <c r="F62" t="inlineStr">
        <is>
          <t>money, to 0.01</t>
        </is>
      </c>
    </row>
    <row r="63">
      <c r="A63" t="inlineStr">
        <is>
          <t>Y2 net income</t>
        </is>
      </c>
      <c r="B63" t="inlineStr">
        <is>
          <t>ni_2</t>
        </is>
      </c>
      <c r="C63" s="4">
        <f>$C$61-$C$62</f>
        <v/>
      </c>
      <c r="D63" s="4" t="n">
        <v>5.600000000000016</v>
      </c>
      <c r="E63" t="inlineStr">
        <is>
          <t>operating_model.net_income.1</t>
        </is>
      </c>
      <c r="F63" t="inlineStr">
        <is>
          <t>money, to 0.01</t>
        </is>
      </c>
    </row>
    <row r="64">
      <c r="A64" t="inlineStr">
        <is>
          <t>Y2 levered free cash flow (before repaying debt)</t>
        </is>
      </c>
      <c r="B64" t="inlineStr">
        <is>
          <t>fcf_2</t>
        </is>
      </c>
      <c r="C64" s="4">
        <f>$C$63+$C$34-$C$36-$C$37</f>
        <v/>
      </c>
      <c r="D64" s="4" t="n">
        <v>15.28000000000002</v>
      </c>
      <c r="E64" t="inlineStr">
        <is>
          <t>cash_flow.levered_fcf.1</t>
        </is>
      </c>
      <c r="F64" t="inlineStr">
        <is>
          <t>money, to 0.01</t>
        </is>
      </c>
    </row>
    <row r="65">
      <c r="A65" t="inlineStr">
        <is>
          <t>Y2 closing cash</t>
        </is>
      </c>
      <c r="B65" t="inlineStr">
        <is>
          <t>cash_2</t>
        </is>
      </c>
      <c r="C65" s="4">
        <f>$C$54+$C$64</f>
        <v/>
      </c>
      <c r="D65" s="4" t="n">
        <v>22.08000000000003</v>
      </c>
      <c r="E65" t="inlineStr">
        <is>
          <t>debt_schedule.cash_balance.1</t>
        </is>
      </c>
      <c r="F65" t="inlineStr">
        <is>
          <t>money, to 0.01</t>
        </is>
      </c>
    </row>
    <row r="66">
      <c r="A66" t="inlineStr">
        <is>
          <t>Y3 profit for tax = EBIT - interest</t>
        </is>
      </c>
      <c r="B66" t="inlineStr">
        <is>
          <t>profit_3</t>
        </is>
      </c>
      <c r="C66" s="4">
        <f>$C$39-$C$22*$C$17</f>
        <v/>
      </c>
      <c r="D66" s="4" t="n">
        <v>16.48000000000005</v>
      </c>
    </row>
    <row r="67">
      <c r="A67" t="inlineStr">
        <is>
          <t>Y3 most this year's profit may absorb</t>
        </is>
      </c>
      <c r="B67" t="inlineStr">
        <is>
          <t>limit_3</t>
        </is>
      </c>
      <c r="C67" s="4">
        <f>MAX($C$66,0)</f>
        <v/>
      </c>
      <c r="D67" s="4" t="n">
        <v>16.48000000000005</v>
      </c>
    </row>
    <row r="68">
      <c r="A68" t="inlineStr">
        <is>
          <t>Y3 losses used</t>
        </is>
      </c>
      <c r="B68" t="inlineStr">
        <is>
          <t>used_3</t>
        </is>
      </c>
      <c r="C68" s="4">
        <f>MIN($C$58,$C$67)</f>
        <v/>
      </c>
      <c r="D68" s="4" t="n">
        <v>0</v>
      </c>
      <c r="E68" t="inlineStr">
        <is>
          <t>tax.losses_used.2</t>
        </is>
      </c>
      <c r="F68" t="inlineStr">
        <is>
          <t>money, to 0.01</t>
        </is>
      </c>
    </row>
    <row r="69">
      <c r="A69" t="inlineStr">
        <is>
          <t>Y3 losses carried forward</t>
        </is>
      </c>
      <c r="B69" t="inlineStr">
        <is>
          <t>loss_3</t>
        </is>
      </c>
      <c r="C69" s="4">
        <f>$C$58-$C$68+MAX(0-$C$66,0)</f>
        <v/>
      </c>
      <c r="D69" s="4" t="n">
        <v>0</v>
      </c>
      <c r="E69" t="inlineStr">
        <is>
          <t>tax.losses_carried.2</t>
        </is>
      </c>
      <c r="F69" t="inlineStr">
        <is>
          <t>money, to 0.01</t>
        </is>
      </c>
    </row>
    <row r="70">
      <c r="A70" t="inlineStr">
        <is>
          <t>Y3 taxable income</t>
        </is>
      </c>
      <c r="B70" t="inlineStr">
        <is>
          <t>taxable_3</t>
        </is>
      </c>
      <c r="C70" s="4">
        <f>MAX($C$66,0)-$C$68</f>
        <v/>
      </c>
      <c r="D70" s="4" t="n">
        <v>16.48000000000005</v>
      </c>
      <c r="E70" t="inlineStr">
        <is>
          <t>tax.taxable_income.2</t>
        </is>
      </c>
      <c r="F70" t="inlineStr">
        <is>
          <t>money, to 0.01</t>
        </is>
      </c>
    </row>
    <row r="71">
      <c r="A71" t="inlineStr">
        <is>
          <t>Y3 interest expense</t>
        </is>
      </c>
      <c r="B71" t="inlineStr">
        <is>
          <t>int_3</t>
        </is>
      </c>
      <c r="C71" s="4">
        <f>$C$22*$C$17</f>
        <v/>
      </c>
      <c r="D71" s="4" t="n">
        <v>90</v>
      </c>
      <c r="E71" t="inlineStr">
        <is>
          <t>operating_model.interest_expense.2</t>
        </is>
      </c>
      <c r="F71" t="inlineStr">
        <is>
          <t>money, to 0.01</t>
        </is>
      </c>
    </row>
    <row r="72">
      <c r="A72" t="inlineStr">
        <is>
          <t>Y3 profit before tax = EBIT - interest + interest income</t>
        </is>
      </c>
      <c r="B72" t="inlineStr">
        <is>
          <t>ebt_3</t>
        </is>
      </c>
      <c r="C72" s="4">
        <f>$C$39-$C$71+0</f>
        <v/>
      </c>
      <c r="D72" s="4" t="n">
        <v>16.48000000000005</v>
      </c>
      <c r="E72" t="inlineStr">
        <is>
          <t>operating_model.ebt.2</t>
        </is>
      </c>
      <c r="F72" t="inlineStr">
        <is>
          <t>money, to 0.01</t>
        </is>
      </c>
    </row>
    <row r="73">
      <c r="A73" t="inlineStr">
        <is>
          <t>Y3 tax</t>
        </is>
      </c>
      <c r="B73" t="inlineStr">
        <is>
          <t>tax_3</t>
        </is>
      </c>
      <c r="C73" s="4">
        <f>$C$70*$C$13</f>
        <v/>
      </c>
      <c r="D73" s="4" t="n">
        <v>4.120000000000012</v>
      </c>
      <c r="E73" t="inlineStr">
        <is>
          <t>operating_model.taxes.2</t>
        </is>
      </c>
      <c r="F73" t="inlineStr">
        <is>
          <t>money, to 0.01</t>
        </is>
      </c>
    </row>
    <row r="74">
      <c r="A74" t="inlineStr">
        <is>
          <t>Y3 net income</t>
        </is>
      </c>
      <c r="B74" t="inlineStr">
        <is>
          <t>ni_3</t>
        </is>
      </c>
      <c r="C74" s="4">
        <f>$C$72-$C$73</f>
        <v/>
      </c>
      <c r="D74" s="4" t="n">
        <v>12.36000000000003</v>
      </c>
      <c r="E74" t="inlineStr">
        <is>
          <t>operating_model.net_income.2</t>
        </is>
      </c>
      <c r="F74" t="inlineStr">
        <is>
          <t>money, to 0.01</t>
        </is>
      </c>
    </row>
    <row r="75">
      <c r="A75" t="inlineStr">
        <is>
          <t>Y3 levered free cash flow (before repaying debt)</t>
        </is>
      </c>
      <c r="B75" t="inlineStr">
        <is>
          <t>fcf_3</t>
        </is>
      </c>
      <c r="C75" s="4">
        <f>$C$74+$C$40-$C$42-$C$43</f>
        <v/>
      </c>
      <c r="D75" s="4" t="n">
        <v>23.00800000000004</v>
      </c>
      <c r="E75" t="inlineStr">
        <is>
          <t>cash_flow.levered_fcf.2</t>
        </is>
      </c>
      <c r="F75" t="inlineStr">
        <is>
          <t>money, to 0.01</t>
        </is>
      </c>
    </row>
    <row r="76">
      <c r="A76" t="inlineStr">
        <is>
          <t>Y3 closing cash</t>
        </is>
      </c>
      <c r="B76" t="inlineStr">
        <is>
          <t>cash_3</t>
        </is>
      </c>
      <c r="C76" s="4">
        <f>$C$65+$C$75</f>
        <v/>
      </c>
      <c r="D76" s="4" t="n">
        <v>45.08800000000008</v>
      </c>
      <c r="E76" t="inlineStr">
        <is>
          <t>debt_schedule.cash_balance.2</t>
        </is>
      </c>
      <c r="F76" t="inlineStr">
        <is>
          <t>money, to 0.01</t>
        </is>
      </c>
    </row>
    <row r="77">
      <c r="A77" t="inlineStr">
        <is>
          <t>Net debt at exit (debt - cash + lease liability)</t>
        </is>
      </c>
      <c r="B77" t="inlineStr">
        <is>
          <t>net_debt_exit</t>
        </is>
      </c>
      <c r="C77" s="4">
        <f>$C$22-$C$76</f>
        <v/>
      </c>
      <c r="D77" s="4" t="n">
        <v>704.9119999999999</v>
      </c>
      <c r="E77" t="inlineStr">
        <is>
          <t>returns.net_debt_at_exit</t>
        </is>
      </c>
      <c r="F77" t="inlineStr">
        <is>
          <t>money, to 0.01</t>
        </is>
      </c>
    </row>
    <row r="78">
      <c r="A78" t="inlineStr">
        <is>
          <t>Exit EV = (final-year EBITDA + lease add-back) x exit multiple</t>
        </is>
      </c>
      <c r="B78" t="inlineStr">
        <is>
          <t>exit_ev</t>
        </is>
      </c>
      <c r="C78" s="4">
        <f>($C$41+0)*$C$15</f>
        <v/>
      </c>
      <c r="D78" s="4" t="n">
        <v>1064.8</v>
      </c>
      <c r="E78" t="inlineStr">
        <is>
          <t>returns.exit_ev</t>
        </is>
      </c>
      <c r="F78" t="inlineStr">
        <is>
          <t>money, to 0.01</t>
        </is>
      </c>
    </row>
    <row r="79">
      <c r="A79" t="inlineStr">
        <is>
          <t>Exit equity = exit EV - net debt</t>
        </is>
      </c>
      <c r="B79" t="inlineStr">
        <is>
          <t>exit_equity</t>
        </is>
      </c>
      <c r="C79" s="4">
        <f>$C$78-$C$77</f>
        <v/>
      </c>
      <c r="D79" s="4" t="n">
        <v>359.8880000000005</v>
      </c>
      <c r="E79" t="inlineStr">
        <is>
          <t>returns.net_exit_equity</t>
        </is>
      </c>
      <c r="F79" t="inlineStr">
        <is>
          <t>money, to 0.01</t>
        </is>
      </c>
    </row>
    <row r="80">
      <c r="A80" t="inlineStr">
        <is>
          <t>MOIC = exit equity / entry equity</t>
        </is>
      </c>
      <c r="B80" t="inlineStr">
        <is>
          <t>moic</t>
        </is>
      </c>
      <c r="C80" s="5">
        <f>$C$79/$C$24</f>
        <v/>
      </c>
      <c r="D80" s="5" t="n">
        <v>7.197760000000009</v>
      </c>
      <c r="E80" t="inlineStr">
        <is>
          <t>returns.moic</t>
        </is>
      </c>
      <c r="F80" t="inlineStr">
        <is>
          <t>multiple, to 0.01</t>
        </is>
      </c>
    </row>
    <row r="81">
      <c r="A81" t="inlineStr">
        <is>
          <t>IRR = MOIC ^ (1 / years) - 1</t>
        </is>
      </c>
      <c r="B81" t="inlineStr">
        <is>
          <t>irr</t>
        </is>
      </c>
      <c r="C81" s="6">
        <f>$C$80^(1/$C$16)-1</f>
        <v/>
      </c>
      <c r="D81" s="6" t="n">
        <v>0.9307784987908994</v>
      </c>
      <c r="E81" t="inlineStr">
        <is>
          <t>returns.irr</t>
        </is>
      </c>
      <c r="F81" t="inlineStr">
        <is>
          <t>per cent, to 0.01</t>
        </is>
      </c>
    </row>
    <row r="83">
      <c r="A83" s="3" t="inlineStr">
        <is>
          <t>Headline answers, typed by hand</t>
        </is>
      </c>
    </row>
    <row r="84">
      <c r="A84" t="inlineStr">
        <is>
          <t>Sponsor equity = EV + costs + minimum cash - debt - lease liability</t>
        </is>
      </c>
      <c r="B84" t="inlineStr">
        <is>
          <t>equity</t>
        </is>
      </c>
      <c r="D84" s="4" t="n">
        <v>50</v>
      </c>
    </row>
    <row r="85">
      <c r="A85" t="inlineStr">
        <is>
          <t>Exit equity = exit EV - net debt</t>
        </is>
      </c>
      <c r="B85" t="inlineStr">
        <is>
          <t>exit_equity</t>
        </is>
      </c>
      <c r="D85" s="4" t="n">
        <v>359.888</v>
      </c>
    </row>
  </sheetData>
  <mergeCells count="1">
    <mergeCell ref="A3:F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17. Loss relief limited to an allowance plus 60%</t>
        </is>
      </c>
    </row>
    <row r="2">
      <c r="A2" t="inlineStr">
        <is>
          <t>Covers: tax losses</t>
        </is>
      </c>
    </row>
    <row r="3" ht="90" customHeight="1">
      <c r="A3" s="2" t="inlineStr">
        <is>
          <t>Germany's shape of rule: losses offset profit in full up to an allowance (1 here) and 60% of the profit above it. Growing 20% with 750 at 14%: a loss of 9 in year 1; year 2's profit of 10.2 may absorb 1 + 60% x 9.2 = 6.52, so 2.48 carries on into year 3, which absorbs it all.</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0.2</v>
      </c>
    </row>
    <row r="11">
      <c r="A11" t="inlineStr">
        <is>
          <t>capex</t>
        </is>
      </c>
      <c r="B11" t="inlineStr">
        <is>
          <t>capex</t>
        </is>
      </c>
      <c r="C11" t="n">
        <v>0.03</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0.14</v>
      </c>
    </row>
    <row r="18">
      <c r="A18" t="inlineStr">
        <is>
          <t>allowance</t>
        </is>
      </c>
      <c r="B18" t="inlineStr">
        <is>
          <t>allowance</t>
        </is>
      </c>
      <c r="C18" t="n">
        <v>1</v>
      </c>
    </row>
    <row r="19">
      <c r="A19" t="inlineStr">
        <is>
          <t>share</t>
        </is>
      </c>
      <c r="B19" t="inlineStr">
        <is>
          <t>share</t>
        </is>
      </c>
      <c r="C19" t="n">
        <v>0.6</v>
      </c>
    </row>
    <row r="21">
      <c r="A21" s="3" t="inlineStr">
        <is>
          <t>Working</t>
        </is>
      </c>
      <c r="B21" s="3" t="inlineStr">
        <is>
          <t>Name</t>
        </is>
      </c>
      <c r="C21" s="3" t="inlineStr">
        <is>
          <t>Formula</t>
        </is>
      </c>
      <c r="D21" s="3" t="inlineStr">
        <is>
          <t>Comes to</t>
        </is>
      </c>
      <c r="E21" s="3" t="inlineStr">
        <is>
          <t>Engine figure it must match</t>
        </is>
      </c>
      <c r="F21" s="3" t="inlineStr">
        <is>
          <t>Compared as</t>
        </is>
      </c>
    </row>
    <row r="22">
      <c r="A22" t="inlineStr">
        <is>
          <t>Operating EBITDA (what the model grows)</t>
        </is>
      </c>
      <c r="B22" t="inlineStr">
        <is>
          <t>op_ebitda</t>
        </is>
      </c>
      <c r="C22" s="4">
        <f>$C$6</f>
        <v/>
      </c>
      <c r="D22" s="4" t="n">
        <v>100</v>
      </c>
    </row>
    <row r="23">
      <c r="A23" t="inlineStr">
        <is>
          <t>Entry EV = (EBITDA + lease add-back) x entry multiple</t>
        </is>
      </c>
      <c r="B23" t="inlineStr">
        <is>
          <t>ev</t>
        </is>
      </c>
      <c r="C23" s="4">
        <f>($C$22+0)*$C$14</f>
        <v/>
      </c>
      <c r="D23" s="4" t="n">
        <v>800</v>
      </c>
    </row>
    <row r="24">
      <c r="A24" t="inlineStr">
        <is>
          <t>Debt drawn at close</t>
        </is>
      </c>
      <c r="B24" t="inlineStr">
        <is>
          <t>debt</t>
        </is>
      </c>
      <c r="C24" s="4">
        <f>750</f>
        <v/>
      </c>
      <c r="D24" s="4" t="n">
        <v>750</v>
      </c>
    </row>
    <row r="25">
      <c r="A25" t="inlineStr">
        <is>
          <t>Entry costs (fees and other uses)</t>
        </is>
      </c>
      <c r="B25" t="inlineStr">
        <is>
          <t>costs</t>
        </is>
      </c>
      <c r="C25" s="4">
        <f>0</f>
        <v/>
      </c>
      <c r="D25" s="4" t="n">
        <v>0</v>
      </c>
    </row>
    <row r="26">
      <c r="A26" t="inlineStr">
        <is>
          <t>Sponsor equity = EV + costs + minimum cash - debt - lease liability</t>
        </is>
      </c>
      <c r="B26" t="inlineStr">
        <is>
          <t>equity</t>
        </is>
      </c>
      <c r="C26" s="4">
        <f>$C$23+$C$25+0-$C$24-0</f>
        <v/>
      </c>
      <c r="D26" s="4" t="n">
        <v>50</v>
      </c>
      <c r="E26" t="inlineStr">
        <is>
          <t>returns.entry_equity</t>
        </is>
      </c>
      <c r="F26" t="inlineStr">
        <is>
          <t>money, to 0.01</t>
        </is>
      </c>
    </row>
    <row r="27">
      <c r="A27" t="inlineStr">
        <is>
          <t>Base revenue = EBITDA / (gross margin - opex + D&amp;A)</t>
        </is>
      </c>
      <c r="B27" t="inlineStr">
        <is>
          <t>rev_0</t>
        </is>
      </c>
      <c r="C27" s="4">
        <f>$C$6/($C$7-$C$8+$C$9)</f>
        <v/>
      </c>
      <c r="D27" s="4" t="n">
        <v>400</v>
      </c>
    </row>
    <row r="28">
      <c r="A28" t="inlineStr">
        <is>
          <t>Y1 revenue</t>
        </is>
      </c>
      <c r="B28" t="inlineStr">
        <is>
          <t>rev_1</t>
        </is>
      </c>
      <c r="C28" s="4">
        <f>$C$27*(1+$C$10)</f>
        <v/>
      </c>
      <c r="D28" s="4" t="n">
        <v>480</v>
      </c>
      <c r="E28" t="inlineStr">
        <is>
          <t>operating_model.revenue.0</t>
        </is>
      </c>
      <c r="F28" t="inlineStr">
        <is>
          <t>money, to 0.01</t>
        </is>
      </c>
    </row>
    <row r="29">
      <c r="A29" t="inlineStr">
        <is>
          <t>Y1 EBIT = revenue x (gross margin - opex)</t>
        </is>
      </c>
      <c r="B29" t="inlineStr">
        <is>
          <t>ebit_1</t>
        </is>
      </c>
      <c r="C29" s="4">
        <f>$C$28*($C$7-$C$8)</f>
        <v/>
      </c>
      <c r="D29" s="4" t="n">
        <v>96</v>
      </c>
      <c r="E29" t="inlineStr">
        <is>
          <t>operating_model.ebit.0</t>
        </is>
      </c>
      <c r="F29" t="inlineStr">
        <is>
          <t>money, to 0.01</t>
        </is>
      </c>
    </row>
    <row r="30">
      <c r="A30" t="inlineStr">
        <is>
          <t>Y1 D&amp;A</t>
        </is>
      </c>
      <c r="B30" t="inlineStr">
        <is>
          <t>da_1</t>
        </is>
      </c>
      <c r="C30" s="4">
        <f>$C$28*$C$9</f>
        <v/>
      </c>
      <c r="D30" s="4" t="n">
        <v>24</v>
      </c>
      <c r="E30" t="inlineStr">
        <is>
          <t>operating_model.da.0</t>
        </is>
      </c>
      <c r="F30" t="inlineStr">
        <is>
          <t>money, to 0.01</t>
        </is>
      </c>
    </row>
    <row r="31">
      <c r="A31" t="inlineStr">
        <is>
          <t>Y1 EBITDA</t>
        </is>
      </c>
      <c r="B31" t="inlineStr">
        <is>
          <t>ebitda_1</t>
        </is>
      </c>
      <c r="C31" s="4">
        <f>$C$29+$C$30</f>
        <v/>
      </c>
      <c r="D31" s="4" t="n">
        <v>120</v>
      </c>
      <c r="E31" t="inlineStr">
        <is>
          <t>operating_model.ebitda.0</t>
        </is>
      </c>
      <c r="F31" t="inlineStr">
        <is>
          <t>money, to 0.01</t>
        </is>
      </c>
    </row>
    <row r="32">
      <c r="A32" t="inlineStr">
        <is>
          <t>Y1 capex</t>
        </is>
      </c>
      <c r="B32" t="inlineStr">
        <is>
          <t>capex_1</t>
        </is>
      </c>
      <c r="C32" s="4">
        <f>$C$28*$C$11</f>
        <v/>
      </c>
      <c r="D32" s="4" t="n">
        <v>14.4</v>
      </c>
      <c r="E32" t="inlineStr">
        <is>
          <t>cash_flow.capex.0</t>
        </is>
      </c>
      <c r="F32" t="inlineStr">
        <is>
          <t>money, to 0.01</t>
        </is>
      </c>
    </row>
    <row r="33">
      <c r="A33" t="inlineStr">
        <is>
          <t>Y1 change in working capital</t>
        </is>
      </c>
      <c r="B33" t="inlineStr">
        <is>
          <t>dnwc_1</t>
        </is>
      </c>
      <c r="C33" s="4">
        <f>$C$28*$C$12</f>
        <v/>
      </c>
      <c r="D33" s="4" t="n">
        <v>0</v>
      </c>
      <c r="E33" t="inlineStr">
        <is>
          <t>cash_flow.delta_nwc.0</t>
        </is>
      </c>
      <c r="F33" t="inlineStr">
        <is>
          <t>money, to 0.01</t>
        </is>
      </c>
    </row>
    <row r="34">
      <c r="A34" t="inlineStr">
        <is>
          <t>Y2 revenue</t>
        </is>
      </c>
      <c r="B34" t="inlineStr">
        <is>
          <t>rev_2</t>
        </is>
      </c>
      <c r="C34" s="4">
        <f>$C$28*(1+$C$10)</f>
        <v/>
      </c>
      <c r="D34" s="4" t="n">
        <v>576</v>
      </c>
      <c r="E34" t="inlineStr">
        <is>
          <t>operating_model.revenue.1</t>
        </is>
      </c>
      <c r="F34" t="inlineStr">
        <is>
          <t>money, to 0.01</t>
        </is>
      </c>
    </row>
    <row r="35">
      <c r="A35" t="inlineStr">
        <is>
          <t>Y2 EBIT = revenue x (gross margin - opex)</t>
        </is>
      </c>
      <c r="B35" t="inlineStr">
        <is>
          <t>ebit_2</t>
        </is>
      </c>
      <c r="C35" s="4">
        <f>$C$34*($C$7-$C$8)</f>
        <v/>
      </c>
      <c r="D35" s="4" t="n">
        <v>115.2</v>
      </c>
      <c r="E35" t="inlineStr">
        <is>
          <t>operating_model.ebit.1</t>
        </is>
      </c>
      <c r="F35" t="inlineStr">
        <is>
          <t>money, to 0.01</t>
        </is>
      </c>
    </row>
    <row r="36">
      <c r="A36" t="inlineStr">
        <is>
          <t>Y2 D&amp;A</t>
        </is>
      </c>
      <c r="B36" t="inlineStr">
        <is>
          <t>da_2</t>
        </is>
      </c>
      <c r="C36" s="4">
        <f>$C$34*$C$9</f>
        <v/>
      </c>
      <c r="D36" s="4" t="n">
        <v>28.8</v>
      </c>
      <c r="E36" t="inlineStr">
        <is>
          <t>operating_model.da.1</t>
        </is>
      </c>
      <c r="F36" t="inlineStr">
        <is>
          <t>money, to 0.01</t>
        </is>
      </c>
    </row>
    <row r="37">
      <c r="A37" t="inlineStr">
        <is>
          <t>Y2 EBITDA</t>
        </is>
      </c>
      <c r="B37" t="inlineStr">
        <is>
          <t>ebitda_2</t>
        </is>
      </c>
      <c r="C37" s="4">
        <f>$C$35+$C$36</f>
        <v/>
      </c>
      <c r="D37" s="4" t="n">
        <v>144</v>
      </c>
      <c r="E37" t="inlineStr">
        <is>
          <t>operating_model.ebitda.1</t>
        </is>
      </c>
      <c r="F37" t="inlineStr">
        <is>
          <t>money, to 0.01</t>
        </is>
      </c>
    </row>
    <row r="38">
      <c r="A38" t="inlineStr">
        <is>
          <t>Y2 capex</t>
        </is>
      </c>
      <c r="B38" t="inlineStr">
        <is>
          <t>capex_2</t>
        </is>
      </c>
      <c r="C38" s="4">
        <f>$C$34*$C$11</f>
        <v/>
      </c>
      <c r="D38" s="4" t="n">
        <v>17.28</v>
      </c>
      <c r="E38" t="inlineStr">
        <is>
          <t>cash_flow.capex.1</t>
        </is>
      </c>
      <c r="F38" t="inlineStr">
        <is>
          <t>money, to 0.01</t>
        </is>
      </c>
    </row>
    <row r="39">
      <c r="A39" t="inlineStr">
        <is>
          <t>Y2 change in working capital</t>
        </is>
      </c>
      <c r="B39" t="inlineStr">
        <is>
          <t>dnwc_2</t>
        </is>
      </c>
      <c r="C39" s="4">
        <f>$C$34*$C$12</f>
        <v/>
      </c>
      <c r="D39" s="4" t="n">
        <v>0</v>
      </c>
      <c r="E39" t="inlineStr">
        <is>
          <t>cash_flow.delta_nwc.1</t>
        </is>
      </c>
      <c r="F39" t="inlineStr">
        <is>
          <t>money, to 0.01</t>
        </is>
      </c>
    </row>
    <row r="40">
      <c r="A40" t="inlineStr">
        <is>
          <t>Y3 revenue</t>
        </is>
      </c>
      <c r="B40" t="inlineStr">
        <is>
          <t>rev_3</t>
        </is>
      </c>
      <c r="C40" s="4">
        <f>$C$34*(1+$C$10)</f>
        <v/>
      </c>
      <c r="D40" s="4" t="n">
        <v>691.1999999999999</v>
      </c>
      <c r="E40" t="inlineStr">
        <is>
          <t>operating_model.revenue.2</t>
        </is>
      </c>
      <c r="F40" t="inlineStr">
        <is>
          <t>money, to 0.01</t>
        </is>
      </c>
    </row>
    <row r="41">
      <c r="A41" t="inlineStr">
        <is>
          <t>Y3 EBIT = revenue x (gross margin - opex)</t>
        </is>
      </c>
      <c r="B41" t="inlineStr">
        <is>
          <t>ebit_3</t>
        </is>
      </c>
      <c r="C41" s="4">
        <f>$C$40*($C$7-$C$8)</f>
        <v/>
      </c>
      <c r="D41" s="4" t="n">
        <v>138.24</v>
      </c>
      <c r="E41" t="inlineStr">
        <is>
          <t>operating_model.ebit.2</t>
        </is>
      </c>
      <c r="F41" t="inlineStr">
        <is>
          <t>money, to 0.01</t>
        </is>
      </c>
    </row>
    <row r="42">
      <c r="A42" t="inlineStr">
        <is>
          <t>Y3 D&amp;A</t>
        </is>
      </c>
      <c r="B42" t="inlineStr">
        <is>
          <t>da_3</t>
        </is>
      </c>
      <c r="C42" s="4">
        <f>$C$40*$C$9</f>
        <v/>
      </c>
      <c r="D42" s="4" t="n">
        <v>34.56</v>
      </c>
      <c r="E42" t="inlineStr">
        <is>
          <t>operating_model.da.2</t>
        </is>
      </c>
      <c r="F42" t="inlineStr">
        <is>
          <t>money, to 0.01</t>
        </is>
      </c>
    </row>
    <row r="43">
      <c r="A43" t="inlineStr">
        <is>
          <t>Y3 EBITDA</t>
        </is>
      </c>
      <c r="B43" t="inlineStr">
        <is>
          <t>ebitda_3</t>
        </is>
      </c>
      <c r="C43" s="4">
        <f>$C$41+$C$42</f>
        <v/>
      </c>
      <c r="D43" s="4" t="n">
        <v>172.8</v>
      </c>
      <c r="E43" t="inlineStr">
        <is>
          <t>operating_model.ebitda.2</t>
        </is>
      </c>
      <c r="F43" t="inlineStr">
        <is>
          <t>money, to 0.01</t>
        </is>
      </c>
    </row>
    <row r="44">
      <c r="A44" t="inlineStr">
        <is>
          <t>Y3 capex</t>
        </is>
      </c>
      <c r="B44" t="inlineStr">
        <is>
          <t>capex_3</t>
        </is>
      </c>
      <c r="C44" s="4">
        <f>$C$40*$C$11</f>
        <v/>
      </c>
      <c r="D44" s="4" t="n">
        <v>20.736</v>
      </c>
      <c r="E44" t="inlineStr">
        <is>
          <t>cash_flow.capex.2</t>
        </is>
      </c>
      <c r="F44" t="inlineStr">
        <is>
          <t>money, to 0.01</t>
        </is>
      </c>
    </row>
    <row r="45">
      <c r="A45" t="inlineStr">
        <is>
          <t>Y3 change in working capital</t>
        </is>
      </c>
      <c r="B45" t="inlineStr">
        <is>
          <t>dnwc_3</t>
        </is>
      </c>
      <c r="C45" s="4">
        <f>$C$40*$C$12</f>
        <v/>
      </c>
      <c r="D45" s="4" t="n">
        <v>0</v>
      </c>
      <c r="E45" t="inlineStr">
        <is>
          <t>cash_flow.delta_nwc.2</t>
        </is>
      </c>
      <c r="F45" t="inlineStr">
        <is>
          <t>money, to 0.01</t>
        </is>
      </c>
    </row>
    <row r="46">
      <c r="A46" t="inlineStr">
        <is>
          <t>Y1 profit for tax = EBIT - interest</t>
        </is>
      </c>
      <c r="B46" t="inlineStr">
        <is>
          <t>profit_1</t>
        </is>
      </c>
      <c r="C46" s="4">
        <f>$C$29-$C$24*$C$17</f>
        <v/>
      </c>
      <c r="D46" s="4" t="n">
        <v>-9.000000000000014</v>
      </c>
    </row>
    <row r="47">
      <c r="A47" t="inlineStr">
        <is>
          <t>Y1 most this year's profit may absorb</t>
        </is>
      </c>
      <c r="B47" t="inlineStr">
        <is>
          <t>limit_1</t>
        </is>
      </c>
      <c r="C47" s="4">
        <f>MIN(MAX($C$46,0),$C$18)+$C$19*MAX(MAX($C$46,0)-$C$18,0)</f>
        <v/>
      </c>
      <c r="D47" s="4" t="n">
        <v>0</v>
      </c>
    </row>
    <row r="48">
      <c r="A48" t="inlineStr">
        <is>
          <t>Y1 losses used</t>
        </is>
      </c>
      <c r="B48" t="inlineStr">
        <is>
          <t>used_1</t>
        </is>
      </c>
      <c r="C48" s="4">
        <f>MIN(0,$C$47)</f>
        <v/>
      </c>
      <c r="D48" s="4" t="n">
        <v>0</v>
      </c>
      <c r="E48" t="inlineStr">
        <is>
          <t>tax.losses_used.0</t>
        </is>
      </c>
      <c r="F48" t="inlineStr">
        <is>
          <t>money, to 0.01</t>
        </is>
      </c>
    </row>
    <row r="49">
      <c r="A49" t="inlineStr">
        <is>
          <t>Y1 losses carried forward</t>
        </is>
      </c>
      <c r="B49" t="inlineStr">
        <is>
          <t>loss_1</t>
        </is>
      </c>
      <c r="C49" s="4">
        <f>0-$C$48+MAX(0-$C$46,0)</f>
        <v/>
      </c>
      <c r="D49" s="4" t="n">
        <v>9.000000000000014</v>
      </c>
      <c r="E49" t="inlineStr">
        <is>
          <t>tax.losses_carried.0</t>
        </is>
      </c>
      <c r="F49" t="inlineStr">
        <is>
          <t>money, to 0.01</t>
        </is>
      </c>
    </row>
    <row r="50">
      <c r="A50" t="inlineStr">
        <is>
          <t>Y1 taxable income</t>
        </is>
      </c>
      <c r="B50" t="inlineStr">
        <is>
          <t>taxable_1</t>
        </is>
      </c>
      <c r="C50" s="4">
        <f>MAX($C$46,0)-$C$48</f>
        <v/>
      </c>
      <c r="D50" s="4" t="n">
        <v>0</v>
      </c>
      <c r="E50" t="inlineStr">
        <is>
          <t>tax.taxable_income.0</t>
        </is>
      </c>
      <c r="F50" t="inlineStr">
        <is>
          <t>money, to 0.01</t>
        </is>
      </c>
    </row>
    <row r="51">
      <c r="A51" t="inlineStr">
        <is>
          <t>Y1 interest expense</t>
        </is>
      </c>
      <c r="B51" t="inlineStr">
        <is>
          <t>int_1</t>
        </is>
      </c>
      <c r="C51" s="4">
        <f>$C$24*$C$17</f>
        <v/>
      </c>
      <c r="D51" s="4" t="n">
        <v>105</v>
      </c>
      <c r="E51" t="inlineStr">
        <is>
          <t>operating_model.interest_expense.0</t>
        </is>
      </c>
      <c r="F51" t="inlineStr">
        <is>
          <t>money, to 0.01</t>
        </is>
      </c>
    </row>
    <row r="52">
      <c r="A52" t="inlineStr">
        <is>
          <t>Y1 profit before tax = EBIT - interest + interest income</t>
        </is>
      </c>
      <c r="B52" t="inlineStr">
        <is>
          <t>ebt_1</t>
        </is>
      </c>
      <c r="C52" s="4">
        <f>$C$29-$C$51+0</f>
        <v/>
      </c>
      <c r="D52" s="4" t="n">
        <v>-9.000000000000014</v>
      </c>
      <c r="E52" t="inlineStr">
        <is>
          <t>operating_model.ebt.0</t>
        </is>
      </c>
      <c r="F52" t="inlineStr">
        <is>
          <t>money, to 0.01</t>
        </is>
      </c>
    </row>
    <row r="53">
      <c r="A53" t="inlineStr">
        <is>
          <t>Y1 tax</t>
        </is>
      </c>
      <c r="B53" t="inlineStr">
        <is>
          <t>tax_1</t>
        </is>
      </c>
      <c r="C53" s="4">
        <f>$C$50*$C$13</f>
        <v/>
      </c>
      <c r="D53" s="4" t="n">
        <v>0</v>
      </c>
      <c r="E53" t="inlineStr">
        <is>
          <t>operating_model.taxes.0</t>
        </is>
      </c>
      <c r="F53" t="inlineStr">
        <is>
          <t>money, to 0.01</t>
        </is>
      </c>
    </row>
    <row r="54">
      <c r="A54" t="inlineStr">
        <is>
          <t>Y1 net income</t>
        </is>
      </c>
      <c r="B54" t="inlineStr">
        <is>
          <t>ni_1</t>
        </is>
      </c>
      <c r="C54" s="4">
        <f>$C$52-$C$53</f>
        <v/>
      </c>
      <c r="D54" s="4" t="n">
        <v>-9.000000000000014</v>
      </c>
      <c r="E54" t="inlineStr">
        <is>
          <t>operating_model.net_income.0</t>
        </is>
      </c>
      <c r="F54" t="inlineStr">
        <is>
          <t>money, to 0.01</t>
        </is>
      </c>
    </row>
    <row r="55">
      <c r="A55" t="inlineStr">
        <is>
          <t>Y1 levered free cash flow (before repaying debt)</t>
        </is>
      </c>
      <c r="B55" t="inlineStr">
        <is>
          <t>fcf_1</t>
        </is>
      </c>
      <c r="C55" s="4">
        <f>$C$54+$C$30-$C$32-$C$33</f>
        <v/>
      </c>
      <c r="D55" s="4" t="n">
        <v>0.5999999999999872</v>
      </c>
      <c r="E55" t="inlineStr">
        <is>
          <t>cash_flow.levered_fcf.0</t>
        </is>
      </c>
      <c r="F55" t="inlineStr">
        <is>
          <t>money, to 0.01</t>
        </is>
      </c>
    </row>
    <row r="56">
      <c r="A56" t="inlineStr">
        <is>
          <t>Y1 closing cash</t>
        </is>
      </c>
      <c r="B56" t="inlineStr">
        <is>
          <t>cash_1</t>
        </is>
      </c>
      <c r="C56" s="4">
        <f>0+$C$55</f>
        <v/>
      </c>
      <c r="D56" s="4" t="n">
        <v>0.5999999999999872</v>
      </c>
      <c r="E56" t="inlineStr">
        <is>
          <t>debt_schedule.cash_balance.0</t>
        </is>
      </c>
      <c r="F56" t="inlineStr">
        <is>
          <t>money, to 0.01</t>
        </is>
      </c>
    </row>
    <row r="57">
      <c r="A57" t="inlineStr">
        <is>
          <t>Y2 profit for tax = EBIT - interest</t>
        </is>
      </c>
      <c r="B57" t="inlineStr">
        <is>
          <t>profit_2</t>
        </is>
      </c>
      <c r="C57" s="4">
        <f>$C$35-$C$24*$C$17</f>
        <v/>
      </c>
      <c r="D57" s="4" t="n">
        <v>10.19999999999999</v>
      </c>
    </row>
    <row r="58">
      <c r="A58" t="inlineStr">
        <is>
          <t>Y2 most this year's profit may absorb</t>
        </is>
      </c>
      <c r="B58" t="inlineStr">
        <is>
          <t>limit_2</t>
        </is>
      </c>
      <c r="C58" s="4">
        <f>MIN(MAX($C$57,0),$C$18)+$C$19*MAX(MAX($C$57,0)-$C$18,0)</f>
        <v/>
      </c>
      <c r="D58" s="4" t="n">
        <v>6.519999999999993</v>
      </c>
    </row>
    <row r="59">
      <c r="A59" t="inlineStr">
        <is>
          <t>Y2 losses used</t>
        </is>
      </c>
      <c r="B59" t="inlineStr">
        <is>
          <t>used_2</t>
        </is>
      </c>
      <c r="C59" s="4">
        <f>MIN($C$49,$C$58)</f>
        <v/>
      </c>
      <c r="D59" s="4" t="n">
        <v>6.519999999999993</v>
      </c>
      <c r="E59" t="inlineStr">
        <is>
          <t>tax.losses_used.1</t>
        </is>
      </c>
      <c r="F59" t="inlineStr">
        <is>
          <t>money, to 0.01</t>
        </is>
      </c>
    </row>
    <row r="60">
      <c r="A60" t="inlineStr">
        <is>
          <t>Y2 losses carried forward</t>
        </is>
      </c>
      <c r="B60" t="inlineStr">
        <is>
          <t>loss_2</t>
        </is>
      </c>
      <c r="C60" s="4">
        <f>$C$49-$C$59+MAX(0-$C$57,0)</f>
        <v/>
      </c>
      <c r="D60" s="4" t="n">
        <v>2.480000000000021</v>
      </c>
      <c r="E60" t="inlineStr">
        <is>
          <t>tax.losses_carried.1</t>
        </is>
      </c>
      <c r="F60" t="inlineStr">
        <is>
          <t>money, to 0.01</t>
        </is>
      </c>
    </row>
    <row r="61">
      <c r="A61" t="inlineStr">
        <is>
          <t>Y2 taxable income</t>
        </is>
      </c>
      <c r="B61" t="inlineStr">
        <is>
          <t>taxable_2</t>
        </is>
      </c>
      <c r="C61" s="4">
        <f>MAX($C$57,0)-$C$59</f>
        <v/>
      </c>
      <c r="D61" s="4" t="n">
        <v>3.679999999999995</v>
      </c>
      <c r="E61" t="inlineStr">
        <is>
          <t>tax.taxable_income.1</t>
        </is>
      </c>
      <c r="F61" t="inlineStr">
        <is>
          <t>money, to 0.01</t>
        </is>
      </c>
    </row>
    <row r="62">
      <c r="A62" t="inlineStr">
        <is>
          <t>Y2 interest expense</t>
        </is>
      </c>
      <c r="B62" t="inlineStr">
        <is>
          <t>int_2</t>
        </is>
      </c>
      <c r="C62" s="4">
        <f>$C$24*$C$17</f>
        <v/>
      </c>
      <c r="D62" s="4" t="n">
        <v>105</v>
      </c>
      <c r="E62" t="inlineStr">
        <is>
          <t>operating_model.interest_expense.1</t>
        </is>
      </c>
      <c r="F62" t="inlineStr">
        <is>
          <t>money, to 0.01</t>
        </is>
      </c>
    </row>
    <row r="63">
      <c r="A63" t="inlineStr">
        <is>
          <t>Y2 profit before tax = EBIT - interest + interest income</t>
        </is>
      </c>
      <c r="B63" t="inlineStr">
        <is>
          <t>ebt_2</t>
        </is>
      </c>
      <c r="C63" s="4">
        <f>$C$35-$C$62+0</f>
        <v/>
      </c>
      <c r="D63" s="4" t="n">
        <v>10.19999999999999</v>
      </c>
      <c r="E63" t="inlineStr">
        <is>
          <t>operating_model.ebt.1</t>
        </is>
      </c>
      <c r="F63" t="inlineStr">
        <is>
          <t>money, to 0.01</t>
        </is>
      </c>
    </row>
    <row r="64">
      <c r="A64" t="inlineStr">
        <is>
          <t>Y2 tax</t>
        </is>
      </c>
      <c r="B64" t="inlineStr">
        <is>
          <t>tax_2</t>
        </is>
      </c>
      <c r="C64" s="4">
        <f>$C$61*$C$13</f>
        <v/>
      </c>
      <c r="D64" s="4" t="n">
        <v>0.9199999999999988</v>
      </c>
      <c r="E64" t="inlineStr">
        <is>
          <t>operating_model.taxes.1</t>
        </is>
      </c>
      <c r="F64" t="inlineStr">
        <is>
          <t>money, to 0.01</t>
        </is>
      </c>
    </row>
    <row r="65">
      <c r="A65" t="inlineStr">
        <is>
          <t>Y2 net income</t>
        </is>
      </c>
      <c r="B65" t="inlineStr">
        <is>
          <t>ni_2</t>
        </is>
      </c>
      <c r="C65" s="4">
        <f>$C$63-$C$64</f>
        <v/>
      </c>
      <c r="D65" s="4" t="n">
        <v>9.27999999999999</v>
      </c>
      <c r="E65" t="inlineStr">
        <is>
          <t>operating_model.net_income.1</t>
        </is>
      </c>
      <c r="F65" t="inlineStr">
        <is>
          <t>money, to 0.01</t>
        </is>
      </c>
    </row>
    <row r="66">
      <c r="A66" t="inlineStr">
        <is>
          <t>Y2 levered free cash flow (before repaying debt)</t>
        </is>
      </c>
      <c r="B66" t="inlineStr">
        <is>
          <t>fcf_2</t>
        </is>
      </c>
      <c r="C66" s="4">
        <f>$C$65+$C$36-$C$38-$C$39</f>
        <v/>
      </c>
      <c r="D66" s="4" t="n">
        <v>20.79999999999999</v>
      </c>
      <c r="E66" t="inlineStr">
        <is>
          <t>cash_flow.levered_fcf.1</t>
        </is>
      </c>
      <c r="F66" t="inlineStr">
        <is>
          <t>money, to 0.01</t>
        </is>
      </c>
    </row>
    <row r="67">
      <c r="A67" t="inlineStr">
        <is>
          <t>Y2 closing cash</t>
        </is>
      </c>
      <c r="B67" t="inlineStr">
        <is>
          <t>cash_2</t>
        </is>
      </c>
      <c r="C67" s="4">
        <f>$C$56+$C$66</f>
        <v/>
      </c>
      <c r="D67" s="4" t="n">
        <v>21.39999999999998</v>
      </c>
      <c r="E67" t="inlineStr">
        <is>
          <t>debt_schedule.cash_balance.1</t>
        </is>
      </c>
      <c r="F67" t="inlineStr">
        <is>
          <t>money, to 0.01</t>
        </is>
      </c>
    </row>
    <row r="68">
      <c r="A68" t="inlineStr">
        <is>
          <t>Y3 profit for tax = EBIT - interest</t>
        </is>
      </c>
      <c r="B68" t="inlineStr">
        <is>
          <t>profit_3</t>
        </is>
      </c>
      <c r="C68" s="4">
        <f>$C$41-$C$24*$C$17</f>
        <v/>
      </c>
      <c r="D68" s="4" t="n">
        <v>33.23999999999997</v>
      </c>
    </row>
    <row r="69">
      <c r="A69" t="inlineStr">
        <is>
          <t>Y3 most this year's profit may absorb</t>
        </is>
      </c>
      <c r="B69" t="inlineStr">
        <is>
          <t>limit_3</t>
        </is>
      </c>
      <c r="C69" s="4">
        <f>MIN(MAX($C$68,0),$C$18)+$C$19*MAX(MAX($C$68,0)-$C$18,0)</f>
        <v/>
      </c>
      <c r="D69" s="4" t="n">
        <v>20.34399999999998</v>
      </c>
    </row>
    <row r="70">
      <c r="A70" t="inlineStr">
        <is>
          <t>Y3 losses used</t>
        </is>
      </c>
      <c r="B70" t="inlineStr">
        <is>
          <t>used_3</t>
        </is>
      </c>
      <c r="C70" s="4">
        <f>MIN($C$60,$C$69)</f>
        <v/>
      </c>
      <c r="D70" s="4" t="n">
        <v>2.480000000000021</v>
      </c>
      <c r="E70" t="inlineStr">
        <is>
          <t>tax.losses_used.2</t>
        </is>
      </c>
      <c r="F70" t="inlineStr">
        <is>
          <t>money, to 0.01</t>
        </is>
      </c>
    </row>
    <row r="71">
      <c r="A71" t="inlineStr">
        <is>
          <t>Y3 losses carried forward</t>
        </is>
      </c>
      <c r="B71" t="inlineStr">
        <is>
          <t>loss_3</t>
        </is>
      </c>
      <c r="C71" s="4">
        <f>$C$60-$C$70+MAX(0-$C$68,0)</f>
        <v/>
      </c>
      <c r="D71" s="4" t="n">
        <v>0</v>
      </c>
      <c r="E71" t="inlineStr">
        <is>
          <t>tax.losses_carried.2</t>
        </is>
      </c>
      <c r="F71" t="inlineStr">
        <is>
          <t>money, to 0.01</t>
        </is>
      </c>
    </row>
    <row r="72">
      <c r="A72" t="inlineStr">
        <is>
          <t>Y3 taxable income</t>
        </is>
      </c>
      <c r="B72" t="inlineStr">
        <is>
          <t>taxable_3</t>
        </is>
      </c>
      <c r="C72" s="4">
        <f>MAX($C$68,0)-$C$70</f>
        <v/>
      </c>
      <c r="D72" s="4" t="n">
        <v>30.75999999999994</v>
      </c>
      <c r="E72" t="inlineStr">
        <is>
          <t>tax.taxable_income.2</t>
        </is>
      </c>
      <c r="F72" t="inlineStr">
        <is>
          <t>money, to 0.01</t>
        </is>
      </c>
    </row>
    <row r="73">
      <c r="A73" t="inlineStr">
        <is>
          <t>Y3 interest expense</t>
        </is>
      </c>
      <c r="B73" t="inlineStr">
        <is>
          <t>int_3</t>
        </is>
      </c>
      <c r="C73" s="4">
        <f>$C$24*$C$17</f>
        <v/>
      </c>
      <c r="D73" s="4" t="n">
        <v>105</v>
      </c>
      <c r="E73" t="inlineStr">
        <is>
          <t>operating_model.interest_expense.2</t>
        </is>
      </c>
      <c r="F73" t="inlineStr">
        <is>
          <t>money, to 0.01</t>
        </is>
      </c>
    </row>
    <row r="74">
      <c r="A74" t="inlineStr">
        <is>
          <t>Y3 profit before tax = EBIT - interest + interest income</t>
        </is>
      </c>
      <c r="B74" t="inlineStr">
        <is>
          <t>ebt_3</t>
        </is>
      </c>
      <c r="C74" s="4">
        <f>$C$41-$C$73+0</f>
        <v/>
      </c>
      <c r="D74" s="4" t="n">
        <v>33.23999999999997</v>
      </c>
      <c r="E74" t="inlineStr">
        <is>
          <t>operating_model.ebt.2</t>
        </is>
      </c>
      <c r="F74" t="inlineStr">
        <is>
          <t>money, to 0.01</t>
        </is>
      </c>
    </row>
    <row r="75">
      <c r="A75" t="inlineStr">
        <is>
          <t>Y3 tax</t>
        </is>
      </c>
      <c r="B75" t="inlineStr">
        <is>
          <t>tax_3</t>
        </is>
      </c>
      <c r="C75" s="4">
        <f>$C$72*$C$13</f>
        <v/>
      </c>
      <c r="D75" s="4" t="n">
        <v>7.689999999999986</v>
      </c>
      <c r="E75" t="inlineStr">
        <is>
          <t>operating_model.taxes.2</t>
        </is>
      </c>
      <c r="F75" t="inlineStr">
        <is>
          <t>money, to 0.01</t>
        </is>
      </c>
    </row>
    <row r="76">
      <c r="A76" t="inlineStr">
        <is>
          <t>Y3 net income</t>
        </is>
      </c>
      <c r="B76" t="inlineStr">
        <is>
          <t>ni_3</t>
        </is>
      </c>
      <c r="C76" s="4">
        <f>$C$74-$C$75</f>
        <v/>
      </c>
      <c r="D76" s="4" t="n">
        <v>25.54999999999998</v>
      </c>
      <c r="E76" t="inlineStr">
        <is>
          <t>operating_model.net_income.2</t>
        </is>
      </c>
      <c r="F76" t="inlineStr">
        <is>
          <t>money, to 0.01</t>
        </is>
      </c>
    </row>
    <row r="77">
      <c r="A77" t="inlineStr">
        <is>
          <t>Y3 levered free cash flow (before repaying debt)</t>
        </is>
      </c>
      <c r="B77" t="inlineStr">
        <is>
          <t>fcf_3</t>
        </is>
      </c>
      <c r="C77" s="4">
        <f>$C$76+$C$42-$C$44-$C$45</f>
        <v/>
      </c>
      <c r="D77" s="4" t="n">
        <v>39.37399999999997</v>
      </c>
      <c r="E77" t="inlineStr">
        <is>
          <t>cash_flow.levered_fcf.2</t>
        </is>
      </c>
      <c r="F77" t="inlineStr">
        <is>
          <t>money, to 0.01</t>
        </is>
      </c>
    </row>
    <row r="78">
      <c r="A78" t="inlineStr">
        <is>
          <t>Y3 closing cash</t>
        </is>
      </c>
      <c r="B78" t="inlineStr">
        <is>
          <t>cash_3</t>
        </is>
      </c>
      <c r="C78" s="4">
        <f>$C$67+$C$77</f>
        <v/>
      </c>
      <c r="D78" s="4" t="n">
        <v>60.77399999999995</v>
      </c>
      <c r="E78" t="inlineStr">
        <is>
          <t>debt_schedule.cash_balance.2</t>
        </is>
      </c>
      <c r="F78" t="inlineStr">
        <is>
          <t>money, to 0.01</t>
        </is>
      </c>
    </row>
    <row r="79">
      <c r="A79" t="inlineStr">
        <is>
          <t>Net debt at exit (debt - cash + lease liability)</t>
        </is>
      </c>
      <c r="B79" t="inlineStr">
        <is>
          <t>net_debt_exit</t>
        </is>
      </c>
      <c r="C79" s="4">
        <f>$C$24-$C$78</f>
        <v/>
      </c>
      <c r="D79" s="4" t="n">
        <v>689.226</v>
      </c>
      <c r="E79" t="inlineStr">
        <is>
          <t>returns.net_debt_at_exit</t>
        </is>
      </c>
      <c r="F79" t="inlineStr">
        <is>
          <t>money, to 0.01</t>
        </is>
      </c>
    </row>
    <row r="80">
      <c r="A80" t="inlineStr">
        <is>
          <t>Exit EV = (final-year EBITDA + lease add-back) x exit multiple</t>
        </is>
      </c>
      <c r="B80" t="inlineStr">
        <is>
          <t>exit_ev</t>
        </is>
      </c>
      <c r="C80" s="4">
        <f>($C$43+0)*$C$15</f>
        <v/>
      </c>
      <c r="D80" s="4" t="n">
        <v>1382.4</v>
      </c>
      <c r="E80" t="inlineStr">
        <is>
          <t>returns.exit_ev</t>
        </is>
      </c>
      <c r="F80" t="inlineStr">
        <is>
          <t>money, to 0.01</t>
        </is>
      </c>
    </row>
    <row r="81">
      <c r="A81" t="inlineStr">
        <is>
          <t>Exit equity = exit EV - net debt</t>
        </is>
      </c>
      <c r="B81" t="inlineStr">
        <is>
          <t>exit_equity</t>
        </is>
      </c>
      <c r="C81" s="4">
        <f>$C$80-$C$79</f>
        <v/>
      </c>
      <c r="D81" s="4" t="n">
        <v>693.1739999999999</v>
      </c>
      <c r="E81" t="inlineStr">
        <is>
          <t>returns.net_exit_equity</t>
        </is>
      </c>
      <c r="F81" t="inlineStr">
        <is>
          <t>money, to 0.01</t>
        </is>
      </c>
    </row>
    <row r="82">
      <c r="A82" t="inlineStr">
        <is>
          <t>MOIC = exit equity / entry equity</t>
        </is>
      </c>
      <c r="B82" t="inlineStr">
        <is>
          <t>moic</t>
        </is>
      </c>
      <c r="C82" s="5">
        <f>$C$81/$C$26</f>
        <v/>
      </c>
      <c r="D82" s="5" t="n">
        <v>13.86348</v>
      </c>
      <c r="E82" t="inlineStr">
        <is>
          <t>returns.moic</t>
        </is>
      </c>
      <c r="F82" t="inlineStr">
        <is>
          <t>multiple, to 0.01</t>
        </is>
      </c>
    </row>
    <row r="83">
      <c r="A83" t="inlineStr">
        <is>
          <t>IRR = MOIC ^ (1 / years) - 1</t>
        </is>
      </c>
      <c r="B83" t="inlineStr">
        <is>
          <t>irr</t>
        </is>
      </c>
      <c r="C83" s="6">
        <f>$C$82^(1/$C$16)-1</f>
        <v/>
      </c>
      <c r="D83" s="6" t="n">
        <v>1.402282550685005</v>
      </c>
      <c r="E83" t="inlineStr">
        <is>
          <t>returns.irr</t>
        </is>
      </c>
      <c r="F83" t="inlineStr">
        <is>
          <t>per cent, to 0.01</t>
        </is>
      </c>
    </row>
    <row r="85">
      <c r="A85" s="3" t="inlineStr">
        <is>
          <t>Headline answers, typed by hand</t>
        </is>
      </c>
    </row>
    <row r="86">
      <c r="A86" t="inlineStr">
        <is>
          <t>Sponsor equity = EV + costs + minimum cash - debt - lease liability</t>
        </is>
      </c>
      <c r="B86" t="inlineStr">
        <is>
          <t>equity</t>
        </is>
      </c>
      <c r="D86" s="4" t="n">
        <v>50</v>
      </c>
    </row>
    <row r="87">
      <c r="A87" t="inlineStr">
        <is>
          <t>Exit equity = exit EV - net debt</t>
        </is>
      </c>
      <c r="B87" t="inlineStr">
        <is>
          <t>exit_equity</t>
        </is>
      </c>
      <c r="D87" s="4" t="n">
        <v>693.174</v>
      </c>
    </row>
  </sheetData>
  <mergeCells count="1">
    <mergeCell ref="A3:F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18. Minimum tax above a low rate</t>
        </is>
      </c>
    </row>
    <row r="2">
      <c r="A2" t="inlineStr">
        <is>
          <t>Covers: tax losses</t>
        </is>
      </c>
    </row>
    <row r="3" ht="90" customHeight="1">
      <c r="A3" s="2" t="inlineStr">
        <is>
          <t>Case 02 in a 10% tax system with a 15% minimum tax on book profit (the shape of the OECD's global minimum). Profit before tax is 40: 4 at the rate, topped up by 2 to 6. Net income 34 a year.</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0.1</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minimum</t>
        </is>
      </c>
      <c r="B18" t="inlineStr">
        <is>
          <t>minimum</t>
        </is>
      </c>
      <c r="C18" t="n">
        <v>0.15</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400</f>
        <v/>
      </c>
      <c r="D23" s="4" t="n">
        <v>400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$C$22+$C$24+0-$C$23-0</f>
        <v/>
      </c>
      <c r="D25" s="4" t="n">
        <v>400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Y1 tax at the 10% rate</t>
        </is>
      </c>
      <c r="B45" t="inlineStr">
        <is>
          <t>regular_1</t>
        </is>
      </c>
      <c r="C45" s="4">
        <f>MAX($C$28-$C$23*$C$17,0)*$C$13</f>
        <v/>
      </c>
      <c r="D45" s="4" t="n">
        <v>4</v>
      </c>
      <c r="E45" t="inlineStr">
        <is>
          <t>tax.regular_tax.0</t>
        </is>
      </c>
      <c r="F45" t="inlineStr">
        <is>
          <t>money, to 0.01</t>
        </is>
      </c>
    </row>
    <row r="46">
      <c r="A46" t="inlineStr">
        <is>
          <t>Y1 top-up to the 15% minimum on book profit</t>
        </is>
      </c>
      <c r="B46" t="inlineStr">
        <is>
          <t>topup_1</t>
        </is>
      </c>
      <c r="C46" s="4">
        <f>MAX(MAX($C$28-$C$23*$C$17,0)*$C$18-$C$45,0)</f>
        <v/>
      </c>
      <c r="D46" s="4" t="n">
        <v>2</v>
      </c>
      <c r="E46" t="inlineStr">
        <is>
          <t>tax.minimum_tax_topup.0</t>
        </is>
      </c>
      <c r="F46" t="inlineStr">
        <is>
          <t>money, to 0.01</t>
        </is>
      </c>
    </row>
    <row r="47">
      <c r="A47" t="inlineStr">
        <is>
          <t>Y1 interest expense</t>
        </is>
      </c>
      <c r="B47" t="inlineStr">
        <is>
          <t>int_1</t>
        </is>
      </c>
      <c r="C47" s="4">
        <f>$C$23*$C$17</f>
        <v/>
      </c>
      <c r="D47" s="4" t="n">
        <v>40</v>
      </c>
      <c r="E47" t="inlineStr">
        <is>
          <t>operating_model.interest_expense.0</t>
        </is>
      </c>
      <c r="F47" t="inlineStr">
        <is>
          <t>money, to 0.01</t>
        </is>
      </c>
    </row>
    <row r="48">
      <c r="A48" t="inlineStr">
        <is>
          <t>Y1 profit before tax = EBIT - interest + interest income</t>
        </is>
      </c>
      <c r="B48" t="inlineStr">
        <is>
          <t>ebt_1</t>
        </is>
      </c>
      <c r="C48" s="4">
        <f>$C$28-$C$47+0</f>
        <v/>
      </c>
      <c r="D48" s="4" t="n">
        <v>40</v>
      </c>
      <c r="E48" t="inlineStr">
        <is>
          <t>operating_model.ebt.0</t>
        </is>
      </c>
      <c r="F48" t="inlineStr">
        <is>
          <t>money, to 0.01</t>
        </is>
      </c>
    </row>
    <row r="49">
      <c r="A49" t="inlineStr">
        <is>
          <t>Y1 tax</t>
        </is>
      </c>
      <c r="B49" t="inlineStr">
        <is>
          <t>tax_1</t>
        </is>
      </c>
      <c r="C49" s="4">
        <f>$C$45+$C$46</f>
        <v/>
      </c>
      <c r="D49" s="4" t="n">
        <v>6</v>
      </c>
      <c r="E49" t="inlineStr">
        <is>
          <t>operating_model.taxes.0</t>
        </is>
      </c>
      <c r="F49" t="inlineStr">
        <is>
          <t>money, to 0.01</t>
        </is>
      </c>
    </row>
    <row r="50">
      <c r="A50" t="inlineStr">
        <is>
          <t>Y1 net income</t>
        </is>
      </c>
      <c r="B50" t="inlineStr">
        <is>
          <t>ni_1</t>
        </is>
      </c>
      <c r="C50" s="4">
        <f>$C$48-$C$49</f>
        <v/>
      </c>
      <c r="D50" s="4" t="n">
        <v>34</v>
      </c>
      <c r="E50" t="inlineStr">
        <is>
          <t>operating_model.net_income.0</t>
        </is>
      </c>
      <c r="F50" t="inlineStr">
        <is>
          <t>money, to 0.01</t>
        </is>
      </c>
    </row>
    <row r="51">
      <c r="A51" t="inlineStr">
        <is>
          <t>Y1 levered free cash flow (before repaying debt)</t>
        </is>
      </c>
      <c r="B51" t="inlineStr">
        <is>
          <t>fcf_1</t>
        </is>
      </c>
      <c r="C51" s="4">
        <f>$C$50+$C$29-$C$31-$C$32</f>
        <v/>
      </c>
      <c r="D51" s="4" t="n">
        <v>34</v>
      </c>
      <c r="E51" t="inlineStr">
        <is>
          <t>cash_flow.levered_fcf.0</t>
        </is>
      </c>
      <c r="F51" t="inlineStr">
        <is>
          <t>money, to 0.01</t>
        </is>
      </c>
    </row>
    <row r="52">
      <c r="A52" t="inlineStr">
        <is>
          <t>Y1 closing cash</t>
        </is>
      </c>
      <c r="B52" t="inlineStr">
        <is>
          <t>cash_1</t>
        </is>
      </c>
      <c r="C52" s="4">
        <f>0+$C$51</f>
        <v/>
      </c>
      <c r="D52" s="4" t="n">
        <v>34</v>
      </c>
    </row>
    <row r="53">
      <c r="A53" t="inlineStr">
        <is>
          <t>Y2 tax at the 10% rate</t>
        </is>
      </c>
      <c r="B53" t="inlineStr">
        <is>
          <t>regular_2</t>
        </is>
      </c>
      <c r="C53" s="4">
        <f>MAX($C$34-$C$23*$C$17,0)*$C$13</f>
        <v/>
      </c>
      <c r="D53" s="4" t="n">
        <v>4</v>
      </c>
      <c r="E53" t="inlineStr">
        <is>
          <t>tax.regular_tax.1</t>
        </is>
      </c>
      <c r="F53" t="inlineStr">
        <is>
          <t>money, to 0.01</t>
        </is>
      </c>
    </row>
    <row r="54">
      <c r="A54" t="inlineStr">
        <is>
          <t>Y2 top-up to the 15% minimum on book profit</t>
        </is>
      </c>
      <c r="B54" t="inlineStr">
        <is>
          <t>topup_2</t>
        </is>
      </c>
      <c r="C54" s="4">
        <f>MAX(MAX($C$34-$C$23*$C$17,0)*$C$18-$C$53,0)</f>
        <v/>
      </c>
      <c r="D54" s="4" t="n">
        <v>2</v>
      </c>
      <c r="E54" t="inlineStr">
        <is>
          <t>tax.minimum_tax_topup.1</t>
        </is>
      </c>
      <c r="F54" t="inlineStr">
        <is>
          <t>money, to 0.01</t>
        </is>
      </c>
    </row>
    <row r="55">
      <c r="A55" t="inlineStr">
        <is>
          <t>Y2 interest expense</t>
        </is>
      </c>
      <c r="B55" t="inlineStr">
        <is>
          <t>int_2</t>
        </is>
      </c>
      <c r="C55" s="4">
        <f>$C$23*$C$17</f>
        <v/>
      </c>
      <c r="D55" s="4" t="n">
        <v>40</v>
      </c>
      <c r="E55" t="inlineStr">
        <is>
          <t>operating_model.interest_expense.1</t>
        </is>
      </c>
      <c r="F55" t="inlineStr">
        <is>
          <t>money, to 0.01</t>
        </is>
      </c>
    </row>
    <row r="56">
      <c r="A56" t="inlineStr">
        <is>
          <t>Y2 profit before tax = EBIT - interest + interest income</t>
        </is>
      </c>
      <c r="B56" t="inlineStr">
        <is>
          <t>ebt_2</t>
        </is>
      </c>
      <c r="C56" s="4">
        <f>$C$34-$C$55+0</f>
        <v/>
      </c>
      <c r="D56" s="4" t="n">
        <v>40</v>
      </c>
      <c r="E56" t="inlineStr">
        <is>
          <t>operating_model.ebt.1</t>
        </is>
      </c>
      <c r="F56" t="inlineStr">
        <is>
          <t>money, to 0.01</t>
        </is>
      </c>
    </row>
    <row r="57">
      <c r="A57" t="inlineStr">
        <is>
          <t>Y2 tax</t>
        </is>
      </c>
      <c r="B57" t="inlineStr">
        <is>
          <t>tax_2</t>
        </is>
      </c>
      <c r="C57" s="4">
        <f>$C$53+$C$54</f>
        <v/>
      </c>
      <c r="D57" s="4" t="n">
        <v>6</v>
      </c>
      <c r="E57" t="inlineStr">
        <is>
          <t>operating_model.taxes.1</t>
        </is>
      </c>
      <c r="F57" t="inlineStr">
        <is>
          <t>money, to 0.01</t>
        </is>
      </c>
    </row>
    <row r="58">
      <c r="A58" t="inlineStr">
        <is>
          <t>Y2 net income</t>
        </is>
      </c>
      <c r="B58" t="inlineStr">
        <is>
          <t>ni_2</t>
        </is>
      </c>
      <c r="C58" s="4">
        <f>$C$56-$C$57</f>
        <v/>
      </c>
      <c r="D58" s="4" t="n">
        <v>34</v>
      </c>
      <c r="E58" t="inlineStr">
        <is>
          <t>operating_model.net_income.1</t>
        </is>
      </c>
      <c r="F58" t="inlineStr">
        <is>
          <t>money, to 0.01</t>
        </is>
      </c>
    </row>
    <row r="59">
      <c r="A59" t="inlineStr">
        <is>
          <t>Y2 levered free cash flow (before repaying debt)</t>
        </is>
      </c>
      <c r="B59" t="inlineStr">
        <is>
          <t>fcf_2</t>
        </is>
      </c>
      <c r="C59" s="4">
        <f>$C$58+$C$35-$C$37-$C$38</f>
        <v/>
      </c>
      <c r="D59" s="4" t="n">
        <v>34</v>
      </c>
      <c r="E59" t="inlineStr">
        <is>
          <t>cash_flow.levered_fcf.1</t>
        </is>
      </c>
      <c r="F59" t="inlineStr">
        <is>
          <t>money, to 0.01</t>
        </is>
      </c>
    </row>
    <row r="60">
      <c r="A60" t="inlineStr">
        <is>
          <t>Y2 closing cash</t>
        </is>
      </c>
      <c r="B60" t="inlineStr">
        <is>
          <t>cash_2</t>
        </is>
      </c>
      <c r="C60" s="4">
        <f>$C$52+$C$59</f>
        <v/>
      </c>
      <c r="D60" s="4" t="n">
        <v>68</v>
      </c>
    </row>
    <row r="61">
      <c r="A61" t="inlineStr">
        <is>
          <t>Y3 tax at the 10% rate</t>
        </is>
      </c>
      <c r="B61" t="inlineStr">
        <is>
          <t>regular_3</t>
        </is>
      </c>
      <c r="C61" s="4">
        <f>MAX($C$40-$C$23*$C$17,0)*$C$13</f>
        <v/>
      </c>
      <c r="D61" s="4" t="n">
        <v>4</v>
      </c>
      <c r="E61" t="inlineStr">
        <is>
          <t>tax.regular_tax.2</t>
        </is>
      </c>
      <c r="F61" t="inlineStr">
        <is>
          <t>money, to 0.01</t>
        </is>
      </c>
    </row>
    <row r="62">
      <c r="A62" t="inlineStr">
        <is>
          <t>Y3 top-up to the 15% minimum on book profit</t>
        </is>
      </c>
      <c r="B62" t="inlineStr">
        <is>
          <t>topup_3</t>
        </is>
      </c>
      <c r="C62" s="4">
        <f>MAX(MAX($C$40-$C$23*$C$17,0)*$C$18-$C$61,0)</f>
        <v/>
      </c>
      <c r="D62" s="4" t="n">
        <v>2</v>
      </c>
      <c r="E62" t="inlineStr">
        <is>
          <t>tax.minimum_tax_topup.2</t>
        </is>
      </c>
      <c r="F62" t="inlineStr">
        <is>
          <t>money, to 0.01</t>
        </is>
      </c>
    </row>
    <row r="63">
      <c r="A63" t="inlineStr">
        <is>
          <t>Y3 interest expense</t>
        </is>
      </c>
      <c r="B63" t="inlineStr">
        <is>
          <t>int_3</t>
        </is>
      </c>
      <c r="C63" s="4">
        <f>$C$23*$C$17</f>
        <v/>
      </c>
      <c r="D63" s="4" t="n">
        <v>40</v>
      </c>
      <c r="E63" t="inlineStr">
        <is>
          <t>operating_model.interest_expense.2</t>
        </is>
      </c>
      <c r="F63" t="inlineStr">
        <is>
          <t>money, to 0.01</t>
        </is>
      </c>
    </row>
    <row r="64">
      <c r="A64" t="inlineStr">
        <is>
          <t>Y3 profit before tax = EBIT - interest + interest income</t>
        </is>
      </c>
      <c r="B64" t="inlineStr">
        <is>
          <t>ebt_3</t>
        </is>
      </c>
      <c r="C64" s="4">
        <f>$C$40-$C$63+0</f>
        <v/>
      </c>
      <c r="D64" s="4" t="n">
        <v>40</v>
      </c>
      <c r="E64" t="inlineStr">
        <is>
          <t>operating_model.ebt.2</t>
        </is>
      </c>
      <c r="F64" t="inlineStr">
        <is>
          <t>money, to 0.01</t>
        </is>
      </c>
    </row>
    <row r="65">
      <c r="A65" t="inlineStr">
        <is>
          <t>Y3 tax</t>
        </is>
      </c>
      <c r="B65" t="inlineStr">
        <is>
          <t>tax_3</t>
        </is>
      </c>
      <c r="C65" s="4">
        <f>$C$61+$C$62</f>
        <v/>
      </c>
      <c r="D65" s="4" t="n">
        <v>6</v>
      </c>
      <c r="E65" t="inlineStr">
        <is>
          <t>operating_model.taxes.2</t>
        </is>
      </c>
      <c r="F65" t="inlineStr">
        <is>
          <t>money, to 0.01</t>
        </is>
      </c>
    </row>
    <row r="66">
      <c r="A66" t="inlineStr">
        <is>
          <t>Y3 net income</t>
        </is>
      </c>
      <c r="B66" t="inlineStr">
        <is>
          <t>ni_3</t>
        </is>
      </c>
      <c r="C66" s="4">
        <f>$C$64-$C$65</f>
        <v/>
      </c>
      <c r="D66" s="4" t="n">
        <v>34</v>
      </c>
      <c r="E66" t="inlineStr">
        <is>
          <t>operating_model.net_income.2</t>
        </is>
      </c>
      <c r="F66" t="inlineStr">
        <is>
          <t>money, to 0.01</t>
        </is>
      </c>
    </row>
    <row r="67">
      <c r="A67" t="inlineStr">
        <is>
          <t>Y3 levered free cash flow (before repaying debt)</t>
        </is>
      </c>
      <c r="B67" t="inlineStr">
        <is>
          <t>fcf_3</t>
        </is>
      </c>
      <c r="C67" s="4">
        <f>$C$66+$C$41-$C$43-$C$44</f>
        <v/>
      </c>
      <c r="D67" s="4" t="n">
        <v>34</v>
      </c>
      <c r="E67" t="inlineStr">
        <is>
          <t>cash_flow.levered_fcf.2</t>
        </is>
      </c>
      <c r="F67" t="inlineStr">
        <is>
          <t>money, to 0.01</t>
        </is>
      </c>
    </row>
    <row r="68">
      <c r="A68" t="inlineStr">
        <is>
          <t>Y3 closing cash</t>
        </is>
      </c>
      <c r="B68" t="inlineStr">
        <is>
          <t>cash_3</t>
        </is>
      </c>
      <c r="C68" s="4">
        <f>$C$60+$C$67</f>
        <v/>
      </c>
      <c r="D68" s="4" t="n">
        <v>102</v>
      </c>
    </row>
    <row r="69">
      <c r="A69" t="inlineStr">
        <is>
          <t>Net debt at exit (debt - cash + lease liability)</t>
        </is>
      </c>
      <c r="B69" t="inlineStr">
        <is>
          <t>net_debt_exit</t>
        </is>
      </c>
      <c r="C69" s="4">
        <f>$C$23-$C$68</f>
        <v/>
      </c>
      <c r="D69" s="4" t="n">
        <v>298</v>
      </c>
      <c r="E69" t="inlineStr">
        <is>
          <t>returns.net_debt_at_exit</t>
        </is>
      </c>
      <c r="F69" t="inlineStr">
        <is>
          <t>money, to 0.01</t>
        </is>
      </c>
    </row>
    <row r="70">
      <c r="A70" t="inlineStr">
        <is>
          <t>Exit EV = (final-year EBITDA + lease add-back) x exit multiple</t>
        </is>
      </c>
      <c r="B70" t="inlineStr">
        <is>
          <t>exit_ev</t>
        </is>
      </c>
      <c r="C70" s="4">
        <f>($C$42+0)*$C$15</f>
        <v/>
      </c>
      <c r="D70" s="4" t="n">
        <v>800</v>
      </c>
      <c r="E70" t="inlineStr">
        <is>
          <t>returns.exit_ev</t>
        </is>
      </c>
      <c r="F70" t="inlineStr">
        <is>
          <t>money, to 0.01</t>
        </is>
      </c>
    </row>
    <row r="71">
      <c r="A71" t="inlineStr">
        <is>
          <t>Exit equity = exit EV - net debt</t>
        </is>
      </c>
      <c r="B71" t="inlineStr">
        <is>
          <t>exit_equity</t>
        </is>
      </c>
      <c r="C71" s="4">
        <f>$C$70-$C$69</f>
        <v/>
      </c>
      <c r="D71" s="4" t="n">
        <v>502</v>
      </c>
      <c r="E71" t="inlineStr">
        <is>
          <t>returns.net_exit_equity</t>
        </is>
      </c>
      <c r="F71" t="inlineStr">
        <is>
          <t>money, to 0.01</t>
        </is>
      </c>
    </row>
    <row r="72">
      <c r="A72" t="inlineStr">
        <is>
          <t>MOIC = exit equity / entry equity</t>
        </is>
      </c>
      <c r="B72" t="inlineStr">
        <is>
          <t>moic</t>
        </is>
      </c>
      <c r="C72" s="5">
        <f>$C$71/$C$25</f>
        <v/>
      </c>
      <c r="D72" s="5" t="n">
        <v>1.255</v>
      </c>
      <c r="E72" t="inlineStr">
        <is>
          <t>returns.moic</t>
        </is>
      </c>
      <c r="F72" t="inlineStr">
        <is>
          <t>multiple, to 0.01</t>
        </is>
      </c>
    </row>
    <row r="73">
      <c r="A73" t="inlineStr">
        <is>
          <t>IRR = MOIC ^ (1 / years) - 1</t>
        </is>
      </c>
      <c r="B73" t="inlineStr">
        <is>
          <t>irr</t>
        </is>
      </c>
      <c r="C73" s="6">
        <f>$C$72^(1/$C$16)-1</f>
        <v/>
      </c>
      <c r="D73" s="6" t="n">
        <v>0.07865172400059683</v>
      </c>
      <c r="E73" t="inlineStr">
        <is>
          <t>returns.irr</t>
        </is>
      </c>
      <c r="F73" t="inlineStr">
        <is>
          <t>per cent, to 0.01</t>
        </is>
      </c>
    </row>
    <row r="75">
      <c r="A75" s="3" t="inlineStr">
        <is>
          <t>Headline answers, typed by hand</t>
        </is>
      </c>
    </row>
    <row r="76">
      <c r="A76" t="inlineStr">
        <is>
          <t>Sponsor equity = EV + costs + minimum cash - debt - lease liability</t>
        </is>
      </c>
      <c r="B76" t="inlineStr">
        <is>
          <t>equity</t>
        </is>
      </c>
      <c r="D76" s="4" t="n">
        <v>400</v>
      </c>
    </row>
    <row r="77">
      <c r="A77" t="inlineStr">
        <is>
          <t>Exit equity = exit EV - net debt</t>
        </is>
      </c>
      <c r="B77" t="inlineStr">
        <is>
          <t>exit_equity</t>
        </is>
      </c>
      <c r="D77" s="4" t="n">
        <v>502</v>
      </c>
    </row>
  </sheetData>
  <mergeCells count="1">
    <mergeCell ref="A3:F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19. IFRS 16: leases as debt</t>
        </is>
      </c>
    </row>
    <row r="2">
      <c r="A2" t="inlineStr">
        <is>
          <t>Covers: IFRS 16</t>
        </is>
      </c>
    </row>
    <row r="3" ht="90" customHeight="1">
      <c r="A3" s="2" t="inlineStr">
        <is>
          <t>An IFRS reporter with EBITDA of 110 before 10 of lease costs and a lease liability of 60. The business underneath is case 02's (operating EBITDA 100 after rent, which is cash either way). Valued post-IFRS 16, the multiple applies to 110 (EV 880) and the 60 counts as debt, at entry and at exit: cheque 880 - 400 - 60 = 420, exit equity 880 - 310 - 60 = 510.</t>
        </is>
      </c>
    </row>
    <row r="5">
      <c r="A5" s="3" t="inlineStr">
        <is>
          <t>Inputs</t>
        </is>
      </c>
      <c r="B5" s="3" t="inlineStr">
        <is>
          <t>Name</t>
        </is>
      </c>
      <c r="C5" s="3" t="inlineStr">
        <is>
          <t>Value</t>
        </is>
      </c>
    </row>
    <row r="6">
      <c r="A6" t="inlineStr">
        <is>
          <t>ebitda</t>
        </is>
      </c>
      <c r="B6" t="inlineStr">
        <is>
          <t>ebitda</t>
        </is>
      </c>
      <c r="C6" t="n">
        <v>110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lease</t>
        </is>
      </c>
      <c r="B18" t="inlineStr">
        <is>
          <t>lease</t>
        </is>
      </c>
      <c r="C18" t="n">
        <v>10</v>
      </c>
    </row>
    <row r="19">
      <c r="A19" t="inlineStr">
        <is>
          <t>liability</t>
        </is>
      </c>
      <c r="B19" t="inlineStr">
        <is>
          <t>liability</t>
        </is>
      </c>
      <c r="C19" t="n">
        <v>60</v>
      </c>
    </row>
    <row r="21">
      <c r="A21" s="3" t="inlineStr">
        <is>
          <t>Working</t>
        </is>
      </c>
      <c r="B21" s="3" t="inlineStr">
        <is>
          <t>Name</t>
        </is>
      </c>
      <c r="C21" s="3" t="inlineStr">
        <is>
          <t>Formula</t>
        </is>
      </c>
      <c r="D21" s="3" t="inlineStr">
        <is>
          <t>Comes to</t>
        </is>
      </c>
      <c r="E21" s="3" t="inlineStr">
        <is>
          <t>Engine figure it must match</t>
        </is>
      </c>
      <c r="F21" s="3" t="inlineStr">
        <is>
          <t>Compared as</t>
        </is>
      </c>
    </row>
    <row r="22">
      <c r="A22" t="inlineStr">
        <is>
          <t>Operating EBITDA (what the model grows)</t>
        </is>
      </c>
      <c r="B22" t="inlineStr">
        <is>
          <t>op_ebitda</t>
        </is>
      </c>
      <c r="C22" s="4">
        <f>$C$6-$C$18</f>
        <v/>
      </c>
      <c r="D22" s="4" t="n">
        <v>100</v>
      </c>
    </row>
    <row r="23">
      <c r="A23" t="inlineStr">
        <is>
          <t>Entry EV = (EBITDA + lease add-back) x entry multiple</t>
        </is>
      </c>
      <c r="B23" t="inlineStr">
        <is>
          <t>ev</t>
        </is>
      </c>
      <c r="C23" s="4">
        <f>($C$22+$C$18)*$C$14</f>
        <v/>
      </c>
      <c r="D23" s="4" t="n">
        <v>880</v>
      </c>
    </row>
    <row r="24">
      <c r="A24" t="inlineStr">
        <is>
          <t>Debt drawn at close</t>
        </is>
      </c>
      <c r="B24" t="inlineStr">
        <is>
          <t>debt</t>
        </is>
      </c>
      <c r="C24" s="4">
        <f>400</f>
        <v/>
      </c>
      <c r="D24" s="4" t="n">
        <v>400</v>
      </c>
    </row>
    <row r="25">
      <c r="A25" t="inlineStr">
        <is>
          <t>Entry costs (fees and other uses)</t>
        </is>
      </c>
      <c r="B25" t="inlineStr">
        <is>
          <t>costs</t>
        </is>
      </c>
      <c r="C25" s="4">
        <f>0</f>
        <v/>
      </c>
      <c r="D25" s="4" t="n">
        <v>0</v>
      </c>
    </row>
    <row r="26">
      <c r="A26" t="inlineStr">
        <is>
          <t>Sponsor equity = EV + costs + minimum cash - debt - lease liability</t>
        </is>
      </c>
      <c r="B26" t="inlineStr">
        <is>
          <t>equity</t>
        </is>
      </c>
      <c r="C26" s="4">
        <f>$C$23+$C$25+0-$C$24-$C$19</f>
        <v/>
      </c>
      <c r="D26" s="4" t="n">
        <v>420</v>
      </c>
      <c r="E26" t="inlineStr">
        <is>
          <t>returns.entry_equity</t>
        </is>
      </c>
      <c r="F26" t="inlineStr">
        <is>
          <t>money, to 0.01</t>
        </is>
      </c>
    </row>
    <row r="27">
      <c r="A27" t="inlineStr">
        <is>
          <t>Base revenue = EBITDA / (gross margin - opex + D&amp;A)</t>
        </is>
      </c>
      <c r="B27" t="inlineStr">
        <is>
          <t>rev_0</t>
        </is>
      </c>
      <c r="C27" s="4">
        <f>$C$22/($C$7-$C$8+$C$9)</f>
        <v/>
      </c>
      <c r="D27" s="4" t="n">
        <v>400</v>
      </c>
    </row>
    <row r="28">
      <c r="A28" t="inlineStr">
        <is>
          <t>Y1 revenue</t>
        </is>
      </c>
      <c r="B28" t="inlineStr">
        <is>
          <t>rev_1</t>
        </is>
      </c>
      <c r="C28" s="4">
        <f>$C$27*(1+$C$10)</f>
        <v/>
      </c>
      <c r="D28" s="4" t="n">
        <v>400</v>
      </c>
      <c r="E28" t="inlineStr">
        <is>
          <t>operating_model.revenue.0</t>
        </is>
      </c>
      <c r="F28" t="inlineStr">
        <is>
          <t>money, to 0.01</t>
        </is>
      </c>
    </row>
    <row r="29">
      <c r="A29" t="inlineStr">
        <is>
          <t>Y1 EBIT = revenue x (gross margin - opex)</t>
        </is>
      </c>
      <c r="B29" t="inlineStr">
        <is>
          <t>ebit_1</t>
        </is>
      </c>
      <c r="C29" s="4">
        <f>$C$28*($C$7-$C$8)</f>
        <v/>
      </c>
      <c r="D29" s="4" t="n">
        <v>80</v>
      </c>
      <c r="E29" t="inlineStr">
        <is>
          <t>operating_model.ebit.0</t>
        </is>
      </c>
      <c r="F29" t="inlineStr">
        <is>
          <t>money, to 0.01</t>
        </is>
      </c>
    </row>
    <row r="30">
      <c r="A30" t="inlineStr">
        <is>
          <t>Y1 D&amp;A</t>
        </is>
      </c>
      <c r="B30" t="inlineStr">
        <is>
          <t>da_1</t>
        </is>
      </c>
      <c r="C30" s="4">
        <f>$C$28*$C$9</f>
        <v/>
      </c>
      <c r="D30" s="4" t="n">
        <v>20</v>
      </c>
      <c r="E30" t="inlineStr">
        <is>
          <t>operating_model.da.0</t>
        </is>
      </c>
      <c r="F30" t="inlineStr">
        <is>
          <t>money, to 0.01</t>
        </is>
      </c>
    </row>
    <row r="31">
      <c r="A31" t="inlineStr">
        <is>
          <t>Y1 EBITDA</t>
        </is>
      </c>
      <c r="B31" t="inlineStr">
        <is>
          <t>ebitda_1</t>
        </is>
      </c>
      <c r="C31" s="4">
        <f>$C$29+$C$30</f>
        <v/>
      </c>
      <c r="D31" s="4" t="n">
        <v>100</v>
      </c>
      <c r="E31" t="inlineStr">
        <is>
          <t>operating_model.ebitda.0</t>
        </is>
      </c>
      <c r="F31" t="inlineStr">
        <is>
          <t>money, to 0.01</t>
        </is>
      </c>
    </row>
    <row r="32">
      <c r="A32" t="inlineStr">
        <is>
          <t>Y1 capex</t>
        </is>
      </c>
      <c r="B32" t="inlineStr">
        <is>
          <t>capex_1</t>
        </is>
      </c>
      <c r="C32" s="4">
        <f>$C$28*$C$11</f>
        <v/>
      </c>
      <c r="D32" s="4" t="n">
        <v>20</v>
      </c>
      <c r="E32" t="inlineStr">
        <is>
          <t>cash_flow.capex.0</t>
        </is>
      </c>
      <c r="F32" t="inlineStr">
        <is>
          <t>money, to 0.01</t>
        </is>
      </c>
    </row>
    <row r="33">
      <c r="A33" t="inlineStr">
        <is>
          <t>Y1 change in working capital</t>
        </is>
      </c>
      <c r="B33" t="inlineStr">
        <is>
          <t>dnwc_1</t>
        </is>
      </c>
      <c r="C33" s="4">
        <f>$C$28*$C$12</f>
        <v/>
      </c>
      <c r="D33" s="4" t="n">
        <v>0</v>
      </c>
      <c r="E33" t="inlineStr">
        <is>
          <t>cash_flow.delta_nwc.0</t>
        </is>
      </c>
      <c r="F33" t="inlineStr">
        <is>
          <t>money, to 0.01</t>
        </is>
      </c>
    </row>
    <row r="34">
      <c r="A34" t="inlineStr">
        <is>
          <t>Y2 revenue</t>
        </is>
      </c>
      <c r="B34" t="inlineStr">
        <is>
          <t>rev_2</t>
        </is>
      </c>
      <c r="C34" s="4">
        <f>$C$28*(1+$C$10)</f>
        <v/>
      </c>
      <c r="D34" s="4" t="n">
        <v>400</v>
      </c>
      <c r="E34" t="inlineStr">
        <is>
          <t>operating_model.revenue.1</t>
        </is>
      </c>
      <c r="F34" t="inlineStr">
        <is>
          <t>money, to 0.01</t>
        </is>
      </c>
    </row>
    <row r="35">
      <c r="A35" t="inlineStr">
        <is>
          <t>Y2 EBIT = revenue x (gross margin - opex)</t>
        </is>
      </c>
      <c r="B35" t="inlineStr">
        <is>
          <t>ebit_2</t>
        </is>
      </c>
      <c r="C35" s="4">
        <f>$C$34*($C$7-$C$8)</f>
        <v/>
      </c>
      <c r="D35" s="4" t="n">
        <v>80</v>
      </c>
      <c r="E35" t="inlineStr">
        <is>
          <t>operating_model.ebit.1</t>
        </is>
      </c>
      <c r="F35" t="inlineStr">
        <is>
          <t>money, to 0.01</t>
        </is>
      </c>
    </row>
    <row r="36">
      <c r="A36" t="inlineStr">
        <is>
          <t>Y2 D&amp;A</t>
        </is>
      </c>
      <c r="B36" t="inlineStr">
        <is>
          <t>da_2</t>
        </is>
      </c>
      <c r="C36" s="4">
        <f>$C$34*$C$9</f>
        <v/>
      </c>
      <c r="D36" s="4" t="n">
        <v>20</v>
      </c>
      <c r="E36" t="inlineStr">
        <is>
          <t>operating_model.da.1</t>
        </is>
      </c>
      <c r="F36" t="inlineStr">
        <is>
          <t>money, to 0.01</t>
        </is>
      </c>
    </row>
    <row r="37">
      <c r="A37" t="inlineStr">
        <is>
          <t>Y2 EBITDA</t>
        </is>
      </c>
      <c r="B37" t="inlineStr">
        <is>
          <t>ebitda_2</t>
        </is>
      </c>
      <c r="C37" s="4">
        <f>$C$35+$C$36</f>
        <v/>
      </c>
      <c r="D37" s="4" t="n">
        <v>100</v>
      </c>
      <c r="E37" t="inlineStr">
        <is>
          <t>operating_model.ebitda.1</t>
        </is>
      </c>
      <c r="F37" t="inlineStr">
        <is>
          <t>money, to 0.01</t>
        </is>
      </c>
    </row>
    <row r="38">
      <c r="A38" t="inlineStr">
        <is>
          <t>Y2 capex</t>
        </is>
      </c>
      <c r="B38" t="inlineStr">
        <is>
          <t>capex_2</t>
        </is>
      </c>
      <c r="C38" s="4">
        <f>$C$34*$C$11</f>
        <v/>
      </c>
      <c r="D38" s="4" t="n">
        <v>20</v>
      </c>
      <c r="E38" t="inlineStr">
        <is>
          <t>cash_flow.capex.1</t>
        </is>
      </c>
      <c r="F38" t="inlineStr">
        <is>
          <t>money, to 0.01</t>
        </is>
      </c>
    </row>
    <row r="39">
      <c r="A39" t="inlineStr">
        <is>
          <t>Y2 change in working capital</t>
        </is>
      </c>
      <c r="B39" t="inlineStr">
        <is>
          <t>dnwc_2</t>
        </is>
      </c>
      <c r="C39" s="4">
        <f>$C$34*$C$12</f>
        <v/>
      </c>
      <c r="D39" s="4" t="n">
        <v>0</v>
      </c>
      <c r="E39" t="inlineStr">
        <is>
          <t>cash_flow.delta_nwc.1</t>
        </is>
      </c>
      <c r="F39" t="inlineStr">
        <is>
          <t>money, to 0.01</t>
        </is>
      </c>
    </row>
    <row r="40">
      <c r="A40" t="inlineStr">
        <is>
          <t>Y3 revenue</t>
        </is>
      </c>
      <c r="B40" t="inlineStr">
        <is>
          <t>rev_3</t>
        </is>
      </c>
      <c r="C40" s="4">
        <f>$C$34*(1+$C$10)</f>
        <v/>
      </c>
      <c r="D40" s="4" t="n">
        <v>400</v>
      </c>
      <c r="E40" t="inlineStr">
        <is>
          <t>operating_model.revenue.2</t>
        </is>
      </c>
      <c r="F40" t="inlineStr">
        <is>
          <t>money, to 0.01</t>
        </is>
      </c>
    </row>
    <row r="41">
      <c r="A41" t="inlineStr">
        <is>
          <t>Y3 EBIT = revenue x (gross margin - opex)</t>
        </is>
      </c>
      <c r="B41" t="inlineStr">
        <is>
          <t>ebit_3</t>
        </is>
      </c>
      <c r="C41" s="4">
        <f>$C$40*($C$7-$C$8)</f>
        <v/>
      </c>
      <c r="D41" s="4" t="n">
        <v>80</v>
      </c>
      <c r="E41" t="inlineStr">
        <is>
          <t>operating_model.ebit.2</t>
        </is>
      </c>
      <c r="F41" t="inlineStr">
        <is>
          <t>money, to 0.01</t>
        </is>
      </c>
    </row>
    <row r="42">
      <c r="A42" t="inlineStr">
        <is>
          <t>Y3 D&amp;A</t>
        </is>
      </c>
      <c r="B42" t="inlineStr">
        <is>
          <t>da_3</t>
        </is>
      </c>
      <c r="C42" s="4">
        <f>$C$40*$C$9</f>
        <v/>
      </c>
      <c r="D42" s="4" t="n">
        <v>20</v>
      </c>
      <c r="E42" t="inlineStr">
        <is>
          <t>operating_model.da.2</t>
        </is>
      </c>
      <c r="F42" t="inlineStr">
        <is>
          <t>money, to 0.01</t>
        </is>
      </c>
    </row>
    <row r="43">
      <c r="A43" t="inlineStr">
        <is>
          <t>Y3 EBITDA</t>
        </is>
      </c>
      <c r="B43" t="inlineStr">
        <is>
          <t>ebitda_3</t>
        </is>
      </c>
      <c r="C43" s="4">
        <f>$C$41+$C$42</f>
        <v/>
      </c>
      <c r="D43" s="4" t="n">
        <v>100</v>
      </c>
      <c r="E43" t="inlineStr">
        <is>
          <t>operating_model.ebitda.2</t>
        </is>
      </c>
      <c r="F43" t="inlineStr">
        <is>
          <t>money, to 0.01</t>
        </is>
      </c>
    </row>
    <row r="44">
      <c r="A44" t="inlineStr">
        <is>
          <t>Y3 capex</t>
        </is>
      </c>
      <c r="B44" t="inlineStr">
        <is>
          <t>capex_3</t>
        </is>
      </c>
      <c r="C44" s="4">
        <f>$C$40*$C$11</f>
        <v/>
      </c>
      <c r="D44" s="4" t="n">
        <v>20</v>
      </c>
      <c r="E44" t="inlineStr">
        <is>
          <t>cash_flow.capex.2</t>
        </is>
      </c>
      <c r="F44" t="inlineStr">
        <is>
          <t>money, to 0.01</t>
        </is>
      </c>
    </row>
    <row r="45">
      <c r="A45" t="inlineStr">
        <is>
          <t>Y3 change in working capital</t>
        </is>
      </c>
      <c r="B45" t="inlineStr">
        <is>
          <t>dnwc_3</t>
        </is>
      </c>
      <c r="C45" s="4">
        <f>$C$40*$C$12</f>
        <v/>
      </c>
      <c r="D45" s="4" t="n">
        <v>0</v>
      </c>
      <c r="E45" t="inlineStr">
        <is>
          <t>cash_flow.delta_nwc.2</t>
        </is>
      </c>
      <c r="F45" t="inlineStr">
        <is>
          <t>money, to 0.01</t>
        </is>
      </c>
    </row>
    <row r="46">
      <c r="A46" t="inlineStr">
        <is>
          <t>Y1 interest expense</t>
        </is>
      </c>
      <c r="B46" t="inlineStr">
        <is>
          <t>int_1</t>
        </is>
      </c>
      <c r="C46" s="4">
        <f>$C$24*$C$17</f>
        <v/>
      </c>
      <c r="D46" s="4" t="n">
        <v>40</v>
      </c>
      <c r="E46" t="inlineStr">
        <is>
          <t>operating_model.interest_expense.0</t>
        </is>
      </c>
      <c r="F46" t="inlineStr">
        <is>
          <t>money, to 0.01</t>
        </is>
      </c>
    </row>
    <row r="47">
      <c r="A47" t="inlineStr">
        <is>
          <t>Y1 profit before tax = EBIT - interest + interest income</t>
        </is>
      </c>
      <c r="B47" t="inlineStr">
        <is>
          <t>ebt_1</t>
        </is>
      </c>
      <c r="C47" s="4">
        <f>$C$29-$C$46+0</f>
        <v/>
      </c>
      <c r="D47" s="4" t="n">
        <v>40</v>
      </c>
      <c r="E47" t="inlineStr">
        <is>
          <t>operating_model.ebt.0</t>
        </is>
      </c>
      <c r="F47" t="inlineStr">
        <is>
          <t>money, to 0.01</t>
        </is>
      </c>
    </row>
    <row r="48">
      <c r="A48" t="inlineStr">
        <is>
          <t>Y1 tax</t>
        </is>
      </c>
      <c r="B48" t="inlineStr">
        <is>
          <t>tax_1</t>
        </is>
      </c>
      <c r="C48" s="4">
        <f>MAX($C$47,0)*$C$13</f>
        <v/>
      </c>
      <c r="D48" s="4" t="n">
        <v>10</v>
      </c>
      <c r="E48" t="inlineStr">
        <is>
          <t>operating_model.taxes.0</t>
        </is>
      </c>
      <c r="F48" t="inlineStr">
        <is>
          <t>money, to 0.01</t>
        </is>
      </c>
    </row>
    <row r="49">
      <c r="A49" t="inlineStr">
        <is>
          <t>Y1 net income</t>
        </is>
      </c>
      <c r="B49" t="inlineStr">
        <is>
          <t>ni_1</t>
        </is>
      </c>
      <c r="C49" s="4">
        <f>$C$47-$C$48</f>
        <v/>
      </c>
      <c r="D49" s="4" t="n">
        <v>30</v>
      </c>
      <c r="E49" t="inlineStr">
        <is>
          <t>operating_model.net_income.0</t>
        </is>
      </c>
      <c r="F49" t="inlineStr">
        <is>
          <t>money, to 0.01</t>
        </is>
      </c>
    </row>
    <row r="50">
      <c r="A50" t="inlineStr">
        <is>
          <t>Y1 levered free cash flow (before repaying debt)</t>
        </is>
      </c>
      <c r="B50" t="inlineStr">
        <is>
          <t>fcf_1</t>
        </is>
      </c>
      <c r="C50" s="4">
        <f>$C$49+$C$30-$C$32-$C$33</f>
        <v/>
      </c>
      <c r="D50" s="4" t="n">
        <v>30</v>
      </c>
      <c r="E50" t="inlineStr">
        <is>
          <t>cash_flow.levered_fcf.0</t>
        </is>
      </c>
      <c r="F50" t="inlineStr">
        <is>
          <t>money, to 0.01</t>
        </is>
      </c>
    </row>
    <row r="51">
      <c r="A51" t="inlineStr">
        <is>
          <t>Y1 closing cash above the minimum</t>
        </is>
      </c>
      <c r="B51" t="inlineStr">
        <is>
          <t>cash_1</t>
        </is>
      </c>
      <c r="C51" s="4">
        <f>0+$C$50</f>
        <v/>
      </c>
      <c r="D51" s="4" t="n">
        <v>30</v>
      </c>
    </row>
    <row r="52">
      <c r="A52" t="inlineStr">
        <is>
          <t>Y1 Notes closing balance</t>
        </is>
      </c>
      <c r="B52" t="inlineStr">
        <is>
          <t>bal_1</t>
        </is>
      </c>
      <c r="C52" s="4">
        <f>$C$24</f>
        <v/>
      </c>
      <c r="D52" s="4" t="n">
        <v>400</v>
      </c>
      <c r="E52" t="inlineStr">
        <is>
          <t>tranches.Notes.0.ending_balance</t>
        </is>
      </c>
      <c r="F52" t="inlineStr">
        <is>
          <t>money, to 0.01</t>
        </is>
      </c>
    </row>
    <row r="53">
      <c r="A53" t="inlineStr">
        <is>
          <t>Y2 interest expense</t>
        </is>
      </c>
      <c r="B53" t="inlineStr">
        <is>
          <t>int_2</t>
        </is>
      </c>
      <c r="C53" s="4">
        <f>$C$24*$C$17</f>
        <v/>
      </c>
      <c r="D53" s="4" t="n">
        <v>40</v>
      </c>
      <c r="E53" t="inlineStr">
        <is>
          <t>operating_model.interest_expense.1</t>
        </is>
      </c>
      <c r="F53" t="inlineStr">
        <is>
          <t>money, to 0.01</t>
        </is>
      </c>
    </row>
    <row r="54">
      <c r="A54" t="inlineStr">
        <is>
          <t>Y2 profit before tax = EBIT - interest + interest income</t>
        </is>
      </c>
      <c r="B54" t="inlineStr">
        <is>
          <t>ebt_2</t>
        </is>
      </c>
      <c r="C54" s="4">
        <f>$C$35-$C$53+0</f>
        <v/>
      </c>
      <c r="D54" s="4" t="n">
        <v>40</v>
      </c>
      <c r="E54" t="inlineStr">
        <is>
          <t>operating_model.ebt.1</t>
        </is>
      </c>
      <c r="F54" t="inlineStr">
        <is>
          <t>money, to 0.01</t>
        </is>
      </c>
    </row>
    <row r="55">
      <c r="A55" t="inlineStr">
        <is>
          <t>Y2 tax</t>
        </is>
      </c>
      <c r="B55" t="inlineStr">
        <is>
          <t>tax_2</t>
        </is>
      </c>
      <c r="C55" s="4">
        <f>MAX($C$54,0)*$C$13</f>
        <v/>
      </c>
      <c r="D55" s="4" t="n">
        <v>10</v>
      </c>
      <c r="E55" t="inlineStr">
        <is>
          <t>operating_model.taxes.1</t>
        </is>
      </c>
      <c r="F55" t="inlineStr">
        <is>
          <t>money, to 0.01</t>
        </is>
      </c>
    </row>
    <row r="56">
      <c r="A56" t="inlineStr">
        <is>
          <t>Y2 net income</t>
        </is>
      </c>
      <c r="B56" t="inlineStr">
        <is>
          <t>ni_2</t>
        </is>
      </c>
      <c r="C56" s="4">
        <f>$C$54-$C$55</f>
        <v/>
      </c>
      <c r="D56" s="4" t="n">
        <v>30</v>
      </c>
      <c r="E56" t="inlineStr">
        <is>
          <t>operating_model.net_income.1</t>
        </is>
      </c>
      <c r="F56" t="inlineStr">
        <is>
          <t>money, to 0.01</t>
        </is>
      </c>
    </row>
    <row r="57">
      <c r="A57" t="inlineStr">
        <is>
          <t>Y2 levered free cash flow (before repaying debt)</t>
        </is>
      </c>
      <c r="B57" t="inlineStr">
        <is>
          <t>fcf_2</t>
        </is>
      </c>
      <c r="C57" s="4">
        <f>$C$56+$C$36-$C$38-$C$39</f>
        <v/>
      </c>
      <c r="D57" s="4" t="n">
        <v>30</v>
      </c>
      <c r="E57" t="inlineStr">
        <is>
          <t>cash_flow.levered_fcf.1</t>
        </is>
      </c>
      <c r="F57" t="inlineStr">
        <is>
          <t>money, to 0.01</t>
        </is>
      </c>
    </row>
    <row r="58">
      <c r="A58" t="inlineStr">
        <is>
          <t>Y2 closing cash above the minimum</t>
        </is>
      </c>
      <c r="B58" t="inlineStr">
        <is>
          <t>cash_2</t>
        </is>
      </c>
      <c r="C58" s="4">
        <f>$C$51+$C$57</f>
        <v/>
      </c>
      <c r="D58" s="4" t="n">
        <v>60</v>
      </c>
    </row>
    <row r="59">
      <c r="A59" t="inlineStr">
        <is>
          <t>Y2 Notes closing balance</t>
        </is>
      </c>
      <c r="B59" t="inlineStr">
        <is>
          <t>bal_2</t>
        </is>
      </c>
      <c r="C59" s="4">
        <f>$C$24</f>
        <v/>
      </c>
      <c r="D59" s="4" t="n">
        <v>400</v>
      </c>
      <c r="E59" t="inlineStr">
        <is>
          <t>tranches.Notes.1.ending_balance</t>
        </is>
      </c>
      <c r="F59" t="inlineStr">
        <is>
          <t>money, to 0.01</t>
        </is>
      </c>
    </row>
    <row r="60">
      <c r="A60" t="inlineStr">
        <is>
          <t>Y3 interest expense</t>
        </is>
      </c>
      <c r="B60" t="inlineStr">
        <is>
          <t>int_3</t>
        </is>
      </c>
      <c r="C60" s="4">
        <f>$C$24*$C$17</f>
        <v/>
      </c>
      <c r="D60" s="4" t="n">
        <v>40</v>
      </c>
      <c r="E60" t="inlineStr">
        <is>
          <t>operating_model.interest_expense.2</t>
        </is>
      </c>
      <c r="F60" t="inlineStr">
        <is>
          <t>money, to 0.01</t>
        </is>
      </c>
    </row>
    <row r="61">
      <c r="A61" t="inlineStr">
        <is>
          <t>Y3 profit before tax = EBIT - interest + interest income</t>
        </is>
      </c>
      <c r="B61" t="inlineStr">
        <is>
          <t>ebt_3</t>
        </is>
      </c>
      <c r="C61" s="4">
        <f>$C$41-$C$60+0</f>
        <v/>
      </c>
      <c r="D61" s="4" t="n">
        <v>40</v>
      </c>
      <c r="E61" t="inlineStr">
        <is>
          <t>operating_model.ebt.2</t>
        </is>
      </c>
      <c r="F61" t="inlineStr">
        <is>
          <t>money, to 0.01</t>
        </is>
      </c>
    </row>
    <row r="62">
      <c r="A62" t="inlineStr">
        <is>
          <t>Y3 tax</t>
        </is>
      </c>
      <c r="B62" t="inlineStr">
        <is>
          <t>tax_3</t>
        </is>
      </c>
      <c r="C62" s="4">
        <f>MAX($C$61,0)*$C$13</f>
        <v/>
      </c>
      <c r="D62" s="4" t="n">
        <v>10</v>
      </c>
      <c r="E62" t="inlineStr">
        <is>
          <t>operating_model.taxes.2</t>
        </is>
      </c>
      <c r="F62" t="inlineStr">
        <is>
          <t>money, to 0.01</t>
        </is>
      </c>
    </row>
    <row r="63">
      <c r="A63" t="inlineStr">
        <is>
          <t>Y3 net income</t>
        </is>
      </c>
      <c r="B63" t="inlineStr">
        <is>
          <t>ni_3</t>
        </is>
      </c>
      <c r="C63" s="4">
        <f>$C$61-$C$62</f>
        <v/>
      </c>
      <c r="D63" s="4" t="n">
        <v>30</v>
      </c>
      <c r="E63" t="inlineStr">
        <is>
          <t>operating_model.net_income.2</t>
        </is>
      </c>
      <c r="F63" t="inlineStr">
        <is>
          <t>money, to 0.01</t>
        </is>
      </c>
    </row>
    <row r="64">
      <c r="A64" t="inlineStr">
        <is>
          <t>Y3 levered free cash flow (before repaying debt)</t>
        </is>
      </c>
      <c r="B64" t="inlineStr">
        <is>
          <t>fcf_3</t>
        </is>
      </c>
      <c r="C64" s="4">
        <f>$C$63+$C$42-$C$44-$C$45</f>
        <v/>
      </c>
      <c r="D64" s="4" t="n">
        <v>30</v>
      </c>
      <c r="E64" t="inlineStr">
        <is>
          <t>cash_flow.levered_fcf.2</t>
        </is>
      </c>
      <c r="F64" t="inlineStr">
        <is>
          <t>money, to 0.01</t>
        </is>
      </c>
    </row>
    <row r="65">
      <c r="A65" t="inlineStr">
        <is>
          <t>Y3 closing cash above the minimum</t>
        </is>
      </c>
      <c r="B65" t="inlineStr">
        <is>
          <t>cash_3</t>
        </is>
      </c>
      <c r="C65" s="4">
        <f>$C$58+$C$64</f>
        <v/>
      </c>
      <c r="D65" s="4" t="n">
        <v>90</v>
      </c>
    </row>
    <row r="66">
      <c r="A66" t="inlineStr">
        <is>
          <t>Y3 Notes closing balance</t>
        </is>
      </c>
      <c r="B66" t="inlineStr">
        <is>
          <t>bal_3</t>
        </is>
      </c>
      <c r="C66" s="4">
        <f>$C$24</f>
        <v/>
      </c>
      <c r="D66" s="4" t="n">
        <v>400</v>
      </c>
      <c r="E66" t="inlineStr">
        <is>
          <t>tranches.Notes.2.ending_balance</t>
        </is>
      </c>
      <c r="F66" t="inlineStr">
        <is>
          <t>money, to 0.01</t>
        </is>
      </c>
    </row>
    <row r="67">
      <c r="A67" t="inlineStr">
        <is>
          <t>Net debt at exit (debt - cash + lease liability)</t>
        </is>
      </c>
      <c r="B67" t="inlineStr">
        <is>
          <t>net_debt_exit</t>
        </is>
      </c>
      <c r="C67" s="4">
        <f>$C$66-$C$65+$C$19</f>
        <v/>
      </c>
      <c r="D67" s="4" t="n">
        <v>370</v>
      </c>
      <c r="E67" t="inlineStr">
        <is>
          <t>returns.net_debt_at_exit</t>
        </is>
      </c>
      <c r="F67" t="inlineStr">
        <is>
          <t>money, to 0.01</t>
        </is>
      </c>
    </row>
    <row r="68">
      <c r="A68" t="inlineStr">
        <is>
          <t>Exit EV = (final-year EBITDA + lease add-back) x exit multiple</t>
        </is>
      </c>
      <c r="B68" t="inlineStr">
        <is>
          <t>exit_ev</t>
        </is>
      </c>
      <c r="C68" s="4">
        <f>($C$43+$C$18)*$C$15</f>
        <v/>
      </c>
      <c r="D68" s="4" t="n">
        <v>880</v>
      </c>
      <c r="E68" t="inlineStr">
        <is>
          <t>returns.exit_ev</t>
        </is>
      </c>
      <c r="F68" t="inlineStr">
        <is>
          <t>money, to 0.01</t>
        </is>
      </c>
    </row>
    <row r="69">
      <c r="A69" t="inlineStr">
        <is>
          <t>Exit equity = exit EV - net debt</t>
        </is>
      </c>
      <c r="B69" t="inlineStr">
        <is>
          <t>exit_equity</t>
        </is>
      </c>
      <c r="C69" s="4">
        <f>$C$68-$C$67</f>
        <v/>
      </c>
      <c r="D69" s="4" t="n">
        <v>510</v>
      </c>
      <c r="E69" t="inlineStr">
        <is>
          <t>returns.net_exit_equity</t>
        </is>
      </c>
      <c r="F69" t="inlineStr">
        <is>
          <t>money, to 0.01</t>
        </is>
      </c>
    </row>
    <row r="70">
      <c r="A70" t="inlineStr">
        <is>
          <t>MOIC = exit equity / entry equity</t>
        </is>
      </c>
      <c r="B70" t="inlineStr">
        <is>
          <t>moic</t>
        </is>
      </c>
      <c r="C70" s="5">
        <f>$C$69/$C$26</f>
        <v/>
      </c>
      <c r="D70" s="5" t="n">
        <v>1.214285714285714</v>
      </c>
      <c r="E70" t="inlineStr">
        <is>
          <t>returns.moic</t>
        </is>
      </c>
      <c r="F70" t="inlineStr">
        <is>
          <t>multiple, to 0.01</t>
        </is>
      </c>
    </row>
    <row r="71">
      <c r="A71" t="inlineStr">
        <is>
          <t>IRR = MOIC ^ (1 / years) - 1</t>
        </is>
      </c>
      <c r="B71" t="inlineStr">
        <is>
          <t>irr</t>
        </is>
      </c>
      <c r="C71" s="6">
        <f>$C$70^(1/$C$16)-1</f>
        <v/>
      </c>
      <c r="D71" s="6" t="n">
        <v>0.06685884434218181</v>
      </c>
      <c r="E71" t="inlineStr">
        <is>
          <t>returns.irr</t>
        </is>
      </c>
      <c r="F71" t="inlineStr">
        <is>
          <t>per cent, to 0.01</t>
        </is>
      </c>
    </row>
    <row r="72">
      <c r="A72" t="inlineStr">
        <is>
          <t>Leases block: entry EV on EBITDA before lease costs</t>
        </is>
      </c>
      <c r="B72" t="inlineStr">
        <is>
          <t>lease_ev</t>
        </is>
      </c>
      <c r="C72" s="4">
        <f>$C$23</f>
        <v/>
      </c>
      <c r="D72" s="4" t="n">
        <v>880</v>
      </c>
      <c r="E72" t="inlineStr">
        <is>
          <t>leases.entry_ev</t>
        </is>
      </c>
      <c r="F72" t="inlineStr">
        <is>
          <t>money, to 0.01</t>
        </is>
      </c>
    </row>
    <row r="73">
      <c r="A73" t="inlineStr">
        <is>
          <t>Leases block: net debt at entry = debt + lease liability</t>
        </is>
      </c>
      <c r="B73" t="inlineStr">
        <is>
          <t>lease_nd</t>
        </is>
      </c>
      <c r="C73" s="4">
        <f>$C$24+$C$19</f>
        <v/>
      </c>
      <c r="D73" s="4" t="n">
        <v>460</v>
      </c>
      <c r="E73" t="inlineStr">
        <is>
          <t>leases.net_debt_at_entry</t>
        </is>
      </c>
      <c r="F73" t="inlineStr">
        <is>
          <t>money, to 0.01</t>
        </is>
      </c>
    </row>
    <row r="75">
      <c r="A75" s="3" t="inlineStr">
        <is>
          <t>Headline answers, typed by hand</t>
        </is>
      </c>
    </row>
    <row r="76">
      <c r="A76" t="inlineStr">
        <is>
          <t>Sponsor equity = EV + costs + minimum cash - debt - lease liability</t>
        </is>
      </c>
      <c r="B76" t="inlineStr">
        <is>
          <t>equity</t>
        </is>
      </c>
      <c r="D76" s="4" t="n">
        <v>420</v>
      </c>
    </row>
    <row r="77">
      <c r="A77" t="inlineStr">
        <is>
          <t>Exit equity = exit EV - net debt</t>
        </is>
      </c>
      <c r="B77" t="inlineStr">
        <is>
          <t>exit_equity</t>
        </is>
      </c>
      <c r="D77" s="4" t="n">
        <v>510</v>
      </c>
    </row>
  </sheetData>
  <mergeCells count="1">
    <mergeCell ref="A3:F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20. IFRS 16 reporter valued pre-IFRS 16</t>
        </is>
      </c>
    </row>
    <row r="2">
      <c r="A2" t="inlineStr">
        <is>
          <t>Covers: IFRS 16</t>
        </is>
      </c>
    </row>
    <row r="3" ht="90" customHeight="1">
      <c r="A3" s="2" t="inlineStr">
        <is>
          <t>The same company as case 19 valued the old way: the multiple applies to EBITDA after lease costs (100) and the lease liability is not debt. It is case 02 exactly: cheque 400, exit equity 490. The difference between 19 and 20 is the view, not the business.</t>
        </is>
      </c>
    </row>
    <row r="5">
      <c r="A5" s="3" t="inlineStr">
        <is>
          <t>Inputs</t>
        </is>
      </c>
      <c r="B5" s="3" t="inlineStr">
        <is>
          <t>Name</t>
        </is>
      </c>
      <c r="C5" s="3" t="inlineStr">
        <is>
          <t>Value</t>
        </is>
      </c>
    </row>
    <row r="6">
      <c r="A6" t="inlineStr">
        <is>
          <t>ebitda</t>
        </is>
      </c>
      <c r="B6" t="inlineStr">
        <is>
          <t>ebitda</t>
        </is>
      </c>
      <c r="C6" t="n">
        <v>110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lease</t>
        </is>
      </c>
      <c r="B18" t="inlineStr">
        <is>
          <t>lease</t>
        </is>
      </c>
      <c r="C18" t="n">
        <v>10</v>
      </c>
    </row>
    <row r="19">
      <c r="A19" t="inlineStr">
        <is>
          <t>liability</t>
        </is>
      </c>
      <c r="B19" t="inlineStr">
        <is>
          <t>liability</t>
        </is>
      </c>
      <c r="C19" t="n">
        <v>60</v>
      </c>
    </row>
    <row r="21">
      <c r="A21" s="3" t="inlineStr">
        <is>
          <t>Working</t>
        </is>
      </c>
      <c r="B21" s="3" t="inlineStr">
        <is>
          <t>Name</t>
        </is>
      </c>
      <c r="C21" s="3" t="inlineStr">
        <is>
          <t>Formula</t>
        </is>
      </c>
      <c r="D21" s="3" t="inlineStr">
        <is>
          <t>Comes to</t>
        </is>
      </c>
      <c r="E21" s="3" t="inlineStr">
        <is>
          <t>Engine figure it must match</t>
        </is>
      </c>
      <c r="F21" s="3" t="inlineStr">
        <is>
          <t>Compared as</t>
        </is>
      </c>
    </row>
    <row r="22">
      <c r="A22" t="inlineStr">
        <is>
          <t>Operating EBITDA (what the model grows)</t>
        </is>
      </c>
      <c r="B22" t="inlineStr">
        <is>
          <t>op_ebitda</t>
        </is>
      </c>
      <c r="C22" s="4">
        <f>$C$6-$C$18</f>
        <v/>
      </c>
      <c r="D22" s="4" t="n">
        <v>100</v>
      </c>
    </row>
    <row r="23">
      <c r="A23" t="inlineStr">
        <is>
          <t>Entry EV = (EBITDA + lease add-back) x entry multiple</t>
        </is>
      </c>
      <c r="B23" t="inlineStr">
        <is>
          <t>ev</t>
        </is>
      </c>
      <c r="C23" s="4">
        <f>($C$22+0)*$C$14</f>
        <v/>
      </c>
      <c r="D23" s="4" t="n">
        <v>800</v>
      </c>
    </row>
    <row r="24">
      <c r="A24" t="inlineStr">
        <is>
          <t>Debt drawn at close</t>
        </is>
      </c>
      <c r="B24" t="inlineStr">
        <is>
          <t>debt</t>
        </is>
      </c>
      <c r="C24" s="4">
        <f>400</f>
        <v/>
      </c>
      <c r="D24" s="4" t="n">
        <v>400</v>
      </c>
    </row>
    <row r="25">
      <c r="A25" t="inlineStr">
        <is>
          <t>Entry costs (fees and other uses)</t>
        </is>
      </c>
      <c r="B25" t="inlineStr">
        <is>
          <t>costs</t>
        </is>
      </c>
      <c r="C25" s="4">
        <f>0</f>
        <v/>
      </c>
      <c r="D25" s="4" t="n">
        <v>0</v>
      </c>
    </row>
    <row r="26">
      <c r="A26" t="inlineStr">
        <is>
          <t>Sponsor equity = EV + costs + minimum cash - debt - lease liability</t>
        </is>
      </c>
      <c r="B26" t="inlineStr">
        <is>
          <t>equity</t>
        </is>
      </c>
      <c r="C26" s="4">
        <f>$C$23+$C$25+0-$C$24-0</f>
        <v/>
      </c>
      <c r="D26" s="4" t="n">
        <v>400</v>
      </c>
      <c r="E26" t="inlineStr">
        <is>
          <t>returns.entry_equity</t>
        </is>
      </c>
      <c r="F26" t="inlineStr">
        <is>
          <t>money, to 0.01</t>
        </is>
      </c>
    </row>
    <row r="27">
      <c r="A27" t="inlineStr">
        <is>
          <t>Base revenue = EBITDA / (gross margin - opex + D&amp;A)</t>
        </is>
      </c>
      <c r="B27" t="inlineStr">
        <is>
          <t>rev_0</t>
        </is>
      </c>
      <c r="C27" s="4">
        <f>$C$22/($C$7-$C$8+$C$9)</f>
        <v/>
      </c>
      <c r="D27" s="4" t="n">
        <v>400</v>
      </c>
    </row>
    <row r="28">
      <c r="A28" t="inlineStr">
        <is>
          <t>Y1 revenue</t>
        </is>
      </c>
      <c r="B28" t="inlineStr">
        <is>
          <t>rev_1</t>
        </is>
      </c>
      <c r="C28" s="4">
        <f>$C$27*(1+$C$10)</f>
        <v/>
      </c>
      <c r="D28" s="4" t="n">
        <v>400</v>
      </c>
      <c r="E28" t="inlineStr">
        <is>
          <t>operating_model.revenue.0</t>
        </is>
      </c>
      <c r="F28" t="inlineStr">
        <is>
          <t>money, to 0.01</t>
        </is>
      </c>
    </row>
    <row r="29">
      <c r="A29" t="inlineStr">
        <is>
          <t>Y1 EBIT = revenue x (gross margin - opex)</t>
        </is>
      </c>
      <c r="B29" t="inlineStr">
        <is>
          <t>ebit_1</t>
        </is>
      </c>
      <c r="C29" s="4">
        <f>$C$28*($C$7-$C$8)</f>
        <v/>
      </c>
      <c r="D29" s="4" t="n">
        <v>80</v>
      </c>
      <c r="E29" t="inlineStr">
        <is>
          <t>operating_model.ebit.0</t>
        </is>
      </c>
      <c r="F29" t="inlineStr">
        <is>
          <t>money, to 0.01</t>
        </is>
      </c>
    </row>
    <row r="30">
      <c r="A30" t="inlineStr">
        <is>
          <t>Y1 D&amp;A</t>
        </is>
      </c>
      <c r="B30" t="inlineStr">
        <is>
          <t>da_1</t>
        </is>
      </c>
      <c r="C30" s="4">
        <f>$C$28*$C$9</f>
        <v/>
      </c>
      <c r="D30" s="4" t="n">
        <v>20</v>
      </c>
      <c r="E30" t="inlineStr">
        <is>
          <t>operating_model.da.0</t>
        </is>
      </c>
      <c r="F30" t="inlineStr">
        <is>
          <t>money, to 0.01</t>
        </is>
      </c>
    </row>
    <row r="31">
      <c r="A31" t="inlineStr">
        <is>
          <t>Y1 EBITDA</t>
        </is>
      </c>
      <c r="B31" t="inlineStr">
        <is>
          <t>ebitda_1</t>
        </is>
      </c>
      <c r="C31" s="4">
        <f>$C$29+$C$30</f>
        <v/>
      </c>
      <c r="D31" s="4" t="n">
        <v>100</v>
      </c>
      <c r="E31" t="inlineStr">
        <is>
          <t>operating_model.ebitda.0</t>
        </is>
      </c>
      <c r="F31" t="inlineStr">
        <is>
          <t>money, to 0.01</t>
        </is>
      </c>
    </row>
    <row r="32">
      <c r="A32" t="inlineStr">
        <is>
          <t>Y1 capex</t>
        </is>
      </c>
      <c r="B32" t="inlineStr">
        <is>
          <t>capex_1</t>
        </is>
      </c>
      <c r="C32" s="4">
        <f>$C$28*$C$11</f>
        <v/>
      </c>
      <c r="D32" s="4" t="n">
        <v>20</v>
      </c>
      <c r="E32" t="inlineStr">
        <is>
          <t>cash_flow.capex.0</t>
        </is>
      </c>
      <c r="F32" t="inlineStr">
        <is>
          <t>money, to 0.01</t>
        </is>
      </c>
    </row>
    <row r="33">
      <c r="A33" t="inlineStr">
        <is>
          <t>Y1 change in working capital</t>
        </is>
      </c>
      <c r="B33" t="inlineStr">
        <is>
          <t>dnwc_1</t>
        </is>
      </c>
      <c r="C33" s="4">
        <f>$C$28*$C$12</f>
        <v/>
      </c>
      <c r="D33" s="4" t="n">
        <v>0</v>
      </c>
      <c r="E33" t="inlineStr">
        <is>
          <t>cash_flow.delta_nwc.0</t>
        </is>
      </c>
      <c r="F33" t="inlineStr">
        <is>
          <t>money, to 0.01</t>
        </is>
      </c>
    </row>
    <row r="34">
      <c r="A34" t="inlineStr">
        <is>
          <t>Y2 revenue</t>
        </is>
      </c>
      <c r="B34" t="inlineStr">
        <is>
          <t>rev_2</t>
        </is>
      </c>
      <c r="C34" s="4">
        <f>$C$28*(1+$C$10)</f>
        <v/>
      </c>
      <c r="D34" s="4" t="n">
        <v>400</v>
      </c>
      <c r="E34" t="inlineStr">
        <is>
          <t>operating_model.revenue.1</t>
        </is>
      </c>
      <c r="F34" t="inlineStr">
        <is>
          <t>money, to 0.01</t>
        </is>
      </c>
    </row>
    <row r="35">
      <c r="A35" t="inlineStr">
        <is>
          <t>Y2 EBIT = revenue x (gross margin - opex)</t>
        </is>
      </c>
      <c r="B35" t="inlineStr">
        <is>
          <t>ebit_2</t>
        </is>
      </c>
      <c r="C35" s="4">
        <f>$C$34*($C$7-$C$8)</f>
        <v/>
      </c>
      <c r="D35" s="4" t="n">
        <v>80</v>
      </c>
      <c r="E35" t="inlineStr">
        <is>
          <t>operating_model.ebit.1</t>
        </is>
      </c>
      <c r="F35" t="inlineStr">
        <is>
          <t>money, to 0.01</t>
        </is>
      </c>
    </row>
    <row r="36">
      <c r="A36" t="inlineStr">
        <is>
          <t>Y2 D&amp;A</t>
        </is>
      </c>
      <c r="B36" t="inlineStr">
        <is>
          <t>da_2</t>
        </is>
      </c>
      <c r="C36" s="4">
        <f>$C$34*$C$9</f>
        <v/>
      </c>
      <c r="D36" s="4" t="n">
        <v>20</v>
      </c>
      <c r="E36" t="inlineStr">
        <is>
          <t>operating_model.da.1</t>
        </is>
      </c>
      <c r="F36" t="inlineStr">
        <is>
          <t>money, to 0.01</t>
        </is>
      </c>
    </row>
    <row r="37">
      <c r="A37" t="inlineStr">
        <is>
          <t>Y2 EBITDA</t>
        </is>
      </c>
      <c r="B37" t="inlineStr">
        <is>
          <t>ebitda_2</t>
        </is>
      </c>
      <c r="C37" s="4">
        <f>$C$35+$C$36</f>
        <v/>
      </c>
      <c r="D37" s="4" t="n">
        <v>100</v>
      </c>
      <c r="E37" t="inlineStr">
        <is>
          <t>operating_model.ebitda.1</t>
        </is>
      </c>
      <c r="F37" t="inlineStr">
        <is>
          <t>money, to 0.01</t>
        </is>
      </c>
    </row>
    <row r="38">
      <c r="A38" t="inlineStr">
        <is>
          <t>Y2 capex</t>
        </is>
      </c>
      <c r="B38" t="inlineStr">
        <is>
          <t>capex_2</t>
        </is>
      </c>
      <c r="C38" s="4">
        <f>$C$34*$C$11</f>
        <v/>
      </c>
      <c r="D38" s="4" t="n">
        <v>20</v>
      </c>
      <c r="E38" t="inlineStr">
        <is>
          <t>cash_flow.capex.1</t>
        </is>
      </c>
      <c r="F38" t="inlineStr">
        <is>
          <t>money, to 0.01</t>
        </is>
      </c>
    </row>
    <row r="39">
      <c r="A39" t="inlineStr">
        <is>
          <t>Y2 change in working capital</t>
        </is>
      </c>
      <c r="B39" t="inlineStr">
        <is>
          <t>dnwc_2</t>
        </is>
      </c>
      <c r="C39" s="4">
        <f>$C$34*$C$12</f>
        <v/>
      </c>
      <c r="D39" s="4" t="n">
        <v>0</v>
      </c>
      <c r="E39" t="inlineStr">
        <is>
          <t>cash_flow.delta_nwc.1</t>
        </is>
      </c>
      <c r="F39" t="inlineStr">
        <is>
          <t>money, to 0.01</t>
        </is>
      </c>
    </row>
    <row r="40">
      <c r="A40" t="inlineStr">
        <is>
          <t>Y3 revenue</t>
        </is>
      </c>
      <c r="B40" t="inlineStr">
        <is>
          <t>rev_3</t>
        </is>
      </c>
      <c r="C40" s="4">
        <f>$C$34*(1+$C$10)</f>
        <v/>
      </c>
      <c r="D40" s="4" t="n">
        <v>400</v>
      </c>
      <c r="E40" t="inlineStr">
        <is>
          <t>operating_model.revenue.2</t>
        </is>
      </c>
      <c r="F40" t="inlineStr">
        <is>
          <t>money, to 0.01</t>
        </is>
      </c>
    </row>
    <row r="41">
      <c r="A41" t="inlineStr">
        <is>
          <t>Y3 EBIT = revenue x (gross margin - opex)</t>
        </is>
      </c>
      <c r="B41" t="inlineStr">
        <is>
          <t>ebit_3</t>
        </is>
      </c>
      <c r="C41" s="4">
        <f>$C$40*($C$7-$C$8)</f>
        <v/>
      </c>
      <c r="D41" s="4" t="n">
        <v>80</v>
      </c>
      <c r="E41" t="inlineStr">
        <is>
          <t>operating_model.ebit.2</t>
        </is>
      </c>
      <c r="F41" t="inlineStr">
        <is>
          <t>money, to 0.01</t>
        </is>
      </c>
    </row>
    <row r="42">
      <c r="A42" t="inlineStr">
        <is>
          <t>Y3 D&amp;A</t>
        </is>
      </c>
      <c r="B42" t="inlineStr">
        <is>
          <t>da_3</t>
        </is>
      </c>
      <c r="C42" s="4">
        <f>$C$40*$C$9</f>
        <v/>
      </c>
      <c r="D42" s="4" t="n">
        <v>20</v>
      </c>
      <c r="E42" t="inlineStr">
        <is>
          <t>operating_model.da.2</t>
        </is>
      </c>
      <c r="F42" t="inlineStr">
        <is>
          <t>money, to 0.01</t>
        </is>
      </c>
    </row>
    <row r="43">
      <c r="A43" t="inlineStr">
        <is>
          <t>Y3 EBITDA</t>
        </is>
      </c>
      <c r="B43" t="inlineStr">
        <is>
          <t>ebitda_3</t>
        </is>
      </c>
      <c r="C43" s="4">
        <f>$C$41+$C$42</f>
        <v/>
      </c>
      <c r="D43" s="4" t="n">
        <v>100</v>
      </c>
      <c r="E43" t="inlineStr">
        <is>
          <t>operating_model.ebitda.2</t>
        </is>
      </c>
      <c r="F43" t="inlineStr">
        <is>
          <t>money, to 0.01</t>
        </is>
      </c>
    </row>
    <row r="44">
      <c r="A44" t="inlineStr">
        <is>
          <t>Y3 capex</t>
        </is>
      </c>
      <c r="B44" t="inlineStr">
        <is>
          <t>capex_3</t>
        </is>
      </c>
      <c r="C44" s="4">
        <f>$C$40*$C$11</f>
        <v/>
      </c>
      <c r="D44" s="4" t="n">
        <v>20</v>
      </c>
      <c r="E44" t="inlineStr">
        <is>
          <t>cash_flow.capex.2</t>
        </is>
      </c>
      <c r="F44" t="inlineStr">
        <is>
          <t>money, to 0.01</t>
        </is>
      </c>
    </row>
    <row r="45">
      <c r="A45" t="inlineStr">
        <is>
          <t>Y3 change in working capital</t>
        </is>
      </c>
      <c r="B45" t="inlineStr">
        <is>
          <t>dnwc_3</t>
        </is>
      </c>
      <c r="C45" s="4">
        <f>$C$40*$C$12</f>
        <v/>
      </c>
      <c r="D45" s="4" t="n">
        <v>0</v>
      </c>
      <c r="E45" t="inlineStr">
        <is>
          <t>cash_flow.delta_nwc.2</t>
        </is>
      </c>
      <c r="F45" t="inlineStr">
        <is>
          <t>money, to 0.01</t>
        </is>
      </c>
    </row>
    <row r="46">
      <c r="A46" t="inlineStr">
        <is>
          <t>Y1 interest expense</t>
        </is>
      </c>
      <c r="B46" t="inlineStr">
        <is>
          <t>int_1</t>
        </is>
      </c>
      <c r="C46" s="4">
        <f>$C$24*$C$17</f>
        <v/>
      </c>
      <c r="D46" s="4" t="n">
        <v>40</v>
      </c>
      <c r="E46" t="inlineStr">
        <is>
          <t>operating_model.interest_expense.0</t>
        </is>
      </c>
      <c r="F46" t="inlineStr">
        <is>
          <t>money, to 0.01</t>
        </is>
      </c>
    </row>
    <row r="47">
      <c r="A47" t="inlineStr">
        <is>
          <t>Y1 profit before tax = EBIT - interest + interest income</t>
        </is>
      </c>
      <c r="B47" t="inlineStr">
        <is>
          <t>ebt_1</t>
        </is>
      </c>
      <c r="C47" s="4">
        <f>$C$29-$C$46+0</f>
        <v/>
      </c>
      <c r="D47" s="4" t="n">
        <v>40</v>
      </c>
      <c r="E47" t="inlineStr">
        <is>
          <t>operating_model.ebt.0</t>
        </is>
      </c>
      <c r="F47" t="inlineStr">
        <is>
          <t>money, to 0.01</t>
        </is>
      </c>
    </row>
    <row r="48">
      <c r="A48" t="inlineStr">
        <is>
          <t>Y1 tax</t>
        </is>
      </c>
      <c r="B48" t="inlineStr">
        <is>
          <t>tax_1</t>
        </is>
      </c>
      <c r="C48" s="4">
        <f>MAX($C$47,0)*$C$13</f>
        <v/>
      </c>
      <c r="D48" s="4" t="n">
        <v>10</v>
      </c>
      <c r="E48" t="inlineStr">
        <is>
          <t>operating_model.taxes.0</t>
        </is>
      </c>
      <c r="F48" t="inlineStr">
        <is>
          <t>money, to 0.01</t>
        </is>
      </c>
    </row>
    <row r="49">
      <c r="A49" t="inlineStr">
        <is>
          <t>Y1 net income</t>
        </is>
      </c>
      <c r="B49" t="inlineStr">
        <is>
          <t>ni_1</t>
        </is>
      </c>
      <c r="C49" s="4">
        <f>$C$47-$C$48</f>
        <v/>
      </c>
      <c r="D49" s="4" t="n">
        <v>30</v>
      </c>
      <c r="E49" t="inlineStr">
        <is>
          <t>operating_model.net_income.0</t>
        </is>
      </c>
      <c r="F49" t="inlineStr">
        <is>
          <t>money, to 0.01</t>
        </is>
      </c>
    </row>
    <row r="50">
      <c r="A50" t="inlineStr">
        <is>
          <t>Y1 levered free cash flow (before repaying debt)</t>
        </is>
      </c>
      <c r="B50" t="inlineStr">
        <is>
          <t>fcf_1</t>
        </is>
      </c>
      <c r="C50" s="4">
        <f>$C$49+$C$30-$C$32-$C$33</f>
        <v/>
      </c>
      <c r="D50" s="4" t="n">
        <v>30</v>
      </c>
      <c r="E50" t="inlineStr">
        <is>
          <t>cash_flow.levered_fcf.0</t>
        </is>
      </c>
      <c r="F50" t="inlineStr">
        <is>
          <t>money, to 0.01</t>
        </is>
      </c>
    </row>
    <row r="51">
      <c r="A51" t="inlineStr">
        <is>
          <t>Y1 closing cash above the minimum</t>
        </is>
      </c>
      <c r="B51" t="inlineStr">
        <is>
          <t>cash_1</t>
        </is>
      </c>
      <c r="C51" s="4">
        <f>0+$C$50</f>
        <v/>
      </c>
      <c r="D51" s="4" t="n">
        <v>30</v>
      </c>
    </row>
    <row r="52">
      <c r="A52" t="inlineStr">
        <is>
          <t>Y1 Notes closing balance</t>
        </is>
      </c>
      <c r="B52" t="inlineStr">
        <is>
          <t>bal_1</t>
        </is>
      </c>
      <c r="C52" s="4">
        <f>$C$24</f>
        <v/>
      </c>
      <c r="D52" s="4" t="n">
        <v>400</v>
      </c>
      <c r="E52" t="inlineStr">
        <is>
          <t>tranches.Notes.0.ending_balance</t>
        </is>
      </c>
      <c r="F52" t="inlineStr">
        <is>
          <t>money, to 0.01</t>
        </is>
      </c>
    </row>
    <row r="53">
      <c r="A53" t="inlineStr">
        <is>
          <t>Y2 interest expense</t>
        </is>
      </c>
      <c r="B53" t="inlineStr">
        <is>
          <t>int_2</t>
        </is>
      </c>
      <c r="C53" s="4">
        <f>$C$24*$C$17</f>
        <v/>
      </c>
      <c r="D53" s="4" t="n">
        <v>40</v>
      </c>
      <c r="E53" t="inlineStr">
        <is>
          <t>operating_model.interest_expense.1</t>
        </is>
      </c>
      <c r="F53" t="inlineStr">
        <is>
          <t>money, to 0.01</t>
        </is>
      </c>
    </row>
    <row r="54">
      <c r="A54" t="inlineStr">
        <is>
          <t>Y2 profit before tax = EBIT - interest + interest income</t>
        </is>
      </c>
      <c r="B54" t="inlineStr">
        <is>
          <t>ebt_2</t>
        </is>
      </c>
      <c r="C54" s="4">
        <f>$C$35-$C$53+0</f>
        <v/>
      </c>
      <c r="D54" s="4" t="n">
        <v>40</v>
      </c>
      <c r="E54" t="inlineStr">
        <is>
          <t>operating_model.ebt.1</t>
        </is>
      </c>
      <c r="F54" t="inlineStr">
        <is>
          <t>money, to 0.01</t>
        </is>
      </c>
    </row>
    <row r="55">
      <c r="A55" t="inlineStr">
        <is>
          <t>Y2 tax</t>
        </is>
      </c>
      <c r="B55" t="inlineStr">
        <is>
          <t>tax_2</t>
        </is>
      </c>
      <c r="C55" s="4">
        <f>MAX($C$54,0)*$C$13</f>
        <v/>
      </c>
      <c r="D55" s="4" t="n">
        <v>10</v>
      </c>
      <c r="E55" t="inlineStr">
        <is>
          <t>operating_model.taxes.1</t>
        </is>
      </c>
      <c r="F55" t="inlineStr">
        <is>
          <t>money, to 0.01</t>
        </is>
      </c>
    </row>
    <row r="56">
      <c r="A56" t="inlineStr">
        <is>
          <t>Y2 net income</t>
        </is>
      </c>
      <c r="B56" t="inlineStr">
        <is>
          <t>ni_2</t>
        </is>
      </c>
      <c r="C56" s="4">
        <f>$C$54-$C$55</f>
        <v/>
      </c>
      <c r="D56" s="4" t="n">
        <v>30</v>
      </c>
      <c r="E56" t="inlineStr">
        <is>
          <t>operating_model.net_income.1</t>
        </is>
      </c>
      <c r="F56" t="inlineStr">
        <is>
          <t>money, to 0.01</t>
        </is>
      </c>
    </row>
    <row r="57">
      <c r="A57" t="inlineStr">
        <is>
          <t>Y2 levered free cash flow (before repaying debt)</t>
        </is>
      </c>
      <c r="B57" t="inlineStr">
        <is>
          <t>fcf_2</t>
        </is>
      </c>
      <c r="C57" s="4">
        <f>$C$56+$C$36-$C$38-$C$39</f>
        <v/>
      </c>
      <c r="D57" s="4" t="n">
        <v>30</v>
      </c>
      <c r="E57" t="inlineStr">
        <is>
          <t>cash_flow.levered_fcf.1</t>
        </is>
      </c>
      <c r="F57" t="inlineStr">
        <is>
          <t>money, to 0.01</t>
        </is>
      </c>
    </row>
    <row r="58">
      <c r="A58" t="inlineStr">
        <is>
          <t>Y2 closing cash above the minimum</t>
        </is>
      </c>
      <c r="B58" t="inlineStr">
        <is>
          <t>cash_2</t>
        </is>
      </c>
      <c r="C58" s="4">
        <f>$C$51+$C$57</f>
        <v/>
      </c>
      <c r="D58" s="4" t="n">
        <v>60</v>
      </c>
    </row>
    <row r="59">
      <c r="A59" t="inlineStr">
        <is>
          <t>Y2 Notes closing balance</t>
        </is>
      </c>
      <c r="B59" t="inlineStr">
        <is>
          <t>bal_2</t>
        </is>
      </c>
      <c r="C59" s="4">
        <f>$C$24</f>
        <v/>
      </c>
      <c r="D59" s="4" t="n">
        <v>400</v>
      </c>
      <c r="E59" t="inlineStr">
        <is>
          <t>tranches.Notes.1.ending_balance</t>
        </is>
      </c>
      <c r="F59" t="inlineStr">
        <is>
          <t>money, to 0.01</t>
        </is>
      </c>
    </row>
    <row r="60">
      <c r="A60" t="inlineStr">
        <is>
          <t>Y3 interest expense</t>
        </is>
      </c>
      <c r="B60" t="inlineStr">
        <is>
          <t>int_3</t>
        </is>
      </c>
      <c r="C60" s="4">
        <f>$C$24*$C$17</f>
        <v/>
      </c>
      <c r="D60" s="4" t="n">
        <v>40</v>
      </c>
      <c r="E60" t="inlineStr">
        <is>
          <t>operating_model.interest_expense.2</t>
        </is>
      </c>
      <c r="F60" t="inlineStr">
        <is>
          <t>money, to 0.01</t>
        </is>
      </c>
    </row>
    <row r="61">
      <c r="A61" t="inlineStr">
        <is>
          <t>Y3 profit before tax = EBIT - interest + interest income</t>
        </is>
      </c>
      <c r="B61" t="inlineStr">
        <is>
          <t>ebt_3</t>
        </is>
      </c>
      <c r="C61" s="4">
        <f>$C$41-$C$60+0</f>
        <v/>
      </c>
      <c r="D61" s="4" t="n">
        <v>40</v>
      </c>
      <c r="E61" t="inlineStr">
        <is>
          <t>operating_model.ebt.2</t>
        </is>
      </c>
      <c r="F61" t="inlineStr">
        <is>
          <t>money, to 0.01</t>
        </is>
      </c>
    </row>
    <row r="62">
      <c r="A62" t="inlineStr">
        <is>
          <t>Y3 tax</t>
        </is>
      </c>
      <c r="B62" t="inlineStr">
        <is>
          <t>tax_3</t>
        </is>
      </c>
      <c r="C62" s="4">
        <f>MAX($C$61,0)*$C$13</f>
        <v/>
      </c>
      <c r="D62" s="4" t="n">
        <v>10</v>
      </c>
      <c r="E62" t="inlineStr">
        <is>
          <t>operating_model.taxes.2</t>
        </is>
      </c>
      <c r="F62" t="inlineStr">
        <is>
          <t>money, to 0.01</t>
        </is>
      </c>
    </row>
    <row r="63">
      <c r="A63" t="inlineStr">
        <is>
          <t>Y3 net income</t>
        </is>
      </c>
      <c r="B63" t="inlineStr">
        <is>
          <t>ni_3</t>
        </is>
      </c>
      <c r="C63" s="4">
        <f>$C$61-$C$62</f>
        <v/>
      </c>
      <c r="D63" s="4" t="n">
        <v>30</v>
      </c>
      <c r="E63" t="inlineStr">
        <is>
          <t>operating_model.net_income.2</t>
        </is>
      </c>
      <c r="F63" t="inlineStr">
        <is>
          <t>money, to 0.01</t>
        </is>
      </c>
    </row>
    <row r="64">
      <c r="A64" t="inlineStr">
        <is>
          <t>Y3 levered free cash flow (before repaying debt)</t>
        </is>
      </c>
      <c r="B64" t="inlineStr">
        <is>
          <t>fcf_3</t>
        </is>
      </c>
      <c r="C64" s="4">
        <f>$C$63+$C$42-$C$44-$C$45</f>
        <v/>
      </c>
      <c r="D64" s="4" t="n">
        <v>30</v>
      </c>
      <c r="E64" t="inlineStr">
        <is>
          <t>cash_flow.levered_fcf.2</t>
        </is>
      </c>
      <c r="F64" t="inlineStr">
        <is>
          <t>money, to 0.01</t>
        </is>
      </c>
    </row>
    <row r="65">
      <c r="A65" t="inlineStr">
        <is>
          <t>Y3 closing cash above the minimum</t>
        </is>
      </c>
      <c r="B65" t="inlineStr">
        <is>
          <t>cash_3</t>
        </is>
      </c>
      <c r="C65" s="4">
        <f>$C$58+$C$64</f>
        <v/>
      </c>
      <c r="D65" s="4" t="n">
        <v>90</v>
      </c>
    </row>
    <row r="66">
      <c r="A66" t="inlineStr">
        <is>
          <t>Y3 Notes closing balance</t>
        </is>
      </c>
      <c r="B66" t="inlineStr">
        <is>
          <t>bal_3</t>
        </is>
      </c>
      <c r="C66" s="4">
        <f>$C$24</f>
        <v/>
      </c>
      <c r="D66" s="4" t="n">
        <v>400</v>
      </c>
      <c r="E66" t="inlineStr">
        <is>
          <t>tranches.Notes.2.ending_balance</t>
        </is>
      </c>
      <c r="F66" t="inlineStr">
        <is>
          <t>money, to 0.01</t>
        </is>
      </c>
    </row>
    <row r="67">
      <c r="A67" t="inlineStr">
        <is>
          <t>Net debt at exit (debt - cash + lease liability)</t>
        </is>
      </c>
      <c r="B67" t="inlineStr">
        <is>
          <t>net_debt_exit</t>
        </is>
      </c>
      <c r="C67" s="4">
        <f>$C$66-$C$65+0</f>
        <v/>
      </c>
      <c r="D67" s="4" t="n">
        <v>310</v>
      </c>
      <c r="E67" t="inlineStr">
        <is>
          <t>returns.net_debt_at_exit</t>
        </is>
      </c>
      <c r="F67" t="inlineStr">
        <is>
          <t>money, to 0.01</t>
        </is>
      </c>
    </row>
    <row r="68">
      <c r="A68" t="inlineStr">
        <is>
          <t>Exit EV = (final-year EBITDA + lease add-back) x exit multiple</t>
        </is>
      </c>
      <c r="B68" t="inlineStr">
        <is>
          <t>exit_ev</t>
        </is>
      </c>
      <c r="C68" s="4">
        <f>($C$43+0)*$C$15</f>
        <v/>
      </c>
      <c r="D68" s="4" t="n">
        <v>800</v>
      </c>
      <c r="E68" t="inlineStr">
        <is>
          <t>returns.exit_ev</t>
        </is>
      </c>
      <c r="F68" t="inlineStr">
        <is>
          <t>money, to 0.01</t>
        </is>
      </c>
    </row>
    <row r="69">
      <c r="A69" t="inlineStr">
        <is>
          <t>Exit equity = exit EV - net debt</t>
        </is>
      </c>
      <c r="B69" t="inlineStr">
        <is>
          <t>exit_equity</t>
        </is>
      </c>
      <c r="C69" s="4">
        <f>$C$68-$C$67</f>
        <v/>
      </c>
      <c r="D69" s="4" t="n">
        <v>490</v>
      </c>
      <c r="E69" t="inlineStr">
        <is>
          <t>returns.net_exit_equity</t>
        </is>
      </c>
      <c r="F69" t="inlineStr">
        <is>
          <t>money, to 0.01</t>
        </is>
      </c>
    </row>
    <row r="70">
      <c r="A70" t="inlineStr">
        <is>
          <t>MOIC = exit equity / entry equity</t>
        </is>
      </c>
      <c r="B70" t="inlineStr">
        <is>
          <t>moic</t>
        </is>
      </c>
      <c r="C70" s="5">
        <f>$C$69/$C$26</f>
        <v/>
      </c>
      <c r="D70" s="5" t="n">
        <v>1.225</v>
      </c>
      <c r="E70" t="inlineStr">
        <is>
          <t>returns.moic</t>
        </is>
      </c>
      <c r="F70" t="inlineStr">
        <is>
          <t>multiple, to 0.01</t>
        </is>
      </c>
    </row>
    <row r="71">
      <c r="A71" t="inlineStr">
        <is>
          <t>IRR = MOIC ^ (1 / years) - 1</t>
        </is>
      </c>
      <c r="B71" t="inlineStr">
        <is>
          <t>irr</t>
        </is>
      </c>
      <c r="C71" s="6">
        <f>$C$70^(1/$C$16)-1</f>
        <v/>
      </c>
      <c r="D71" s="6" t="n">
        <v>0.06998748056507953</v>
      </c>
      <c r="E71" t="inlineStr">
        <is>
          <t>returns.irr</t>
        </is>
      </c>
      <c r="F71" t="inlineStr">
        <is>
          <t>per cent, to 0.01</t>
        </is>
      </c>
    </row>
    <row r="73">
      <c r="A73" s="3" t="inlineStr">
        <is>
          <t>Headline answers, typed by hand</t>
        </is>
      </c>
    </row>
    <row r="74">
      <c r="A74" t="inlineStr">
        <is>
          <t>Sponsor equity = EV + costs + minimum cash - debt - lease liability</t>
        </is>
      </c>
      <c r="B74" t="inlineStr">
        <is>
          <t>equity</t>
        </is>
      </c>
      <c r="D74" s="4" t="n">
        <v>400</v>
      </c>
    </row>
    <row r="75">
      <c r="A75" t="inlineStr">
        <is>
          <t>Exit equity = exit EV - net debt</t>
        </is>
      </c>
      <c r="B75" t="inlineStr">
        <is>
          <t>exit_equity</t>
        </is>
      </c>
      <c r="D75" s="4" t="n">
        <v>490</v>
      </c>
    </row>
  </sheetData>
  <mergeCells count="1">
    <mergeCell ref="A3:F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21. Euro deal counted in thousands</t>
        </is>
      </c>
    </row>
    <row r="2">
      <c r="A2" t="inlineStr">
        <is>
          <t>Covers: non-USD</t>
        </is>
      </c>
    </row>
    <row r="3" ht="90" customHeight="1">
      <c r="A3" s="2" t="inlineStr">
        <is>
          <t>Case 02 as a euro deal entered in thousands: EBITDA 100,000 thousand, a 400,000 loan at 3% EURIBOR + 7%. Every figure comes back in thousands, exactly 1,000 times case 02's millions: exit equity 490,000.</t>
        </is>
      </c>
    </row>
    <row r="5">
      <c r="A5" s="3" t="inlineStr">
        <is>
          <t>Inputs</t>
        </is>
      </c>
      <c r="B5" s="3" t="inlineStr">
        <is>
          <t>Name</t>
        </is>
      </c>
      <c r="C5" s="3" t="inlineStr">
        <is>
          <t>Value</t>
        </is>
      </c>
    </row>
    <row r="6">
      <c r="A6" t="inlineStr">
        <is>
          <t>ebitda</t>
        </is>
      </c>
      <c r="B6" t="inlineStr">
        <is>
          <t>ebitda</t>
        </is>
      </c>
      <c r="C6" t="n">
        <v>100000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euribor</t>
        </is>
      </c>
      <c r="B17" t="inlineStr">
        <is>
          <t>euribor</t>
        </is>
      </c>
      <c r="C17" t="n">
        <v>0.03</v>
      </c>
    </row>
    <row r="18">
      <c r="A18" t="inlineStr">
        <is>
          <t>margin</t>
        </is>
      </c>
      <c r="B18" t="inlineStr">
        <is>
          <t>margin</t>
        </is>
      </c>
      <c r="C18" t="n">
        <v>0.07000000000000001</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100000</v>
      </c>
    </row>
    <row r="22">
      <c r="A22" t="inlineStr">
        <is>
          <t>Entry EV = (EBITDA + lease add-back) x entry multiple</t>
        </is>
      </c>
      <c r="B22" t="inlineStr">
        <is>
          <t>ev</t>
        </is>
      </c>
      <c r="C22" s="4">
        <f>($C$21+0)*$C$14</f>
        <v/>
      </c>
      <c r="D22" s="4" t="n">
        <v>800000</v>
      </c>
    </row>
    <row r="23">
      <c r="A23" t="inlineStr">
        <is>
          <t>Debt drawn at close</t>
        </is>
      </c>
      <c r="B23" t="inlineStr">
        <is>
          <t>debt</t>
        </is>
      </c>
      <c r="C23" s="4">
        <f>400000</f>
        <v/>
      </c>
      <c r="D23" s="4" t="n">
        <v>400000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$C$22+$C$24+0-$C$23-0</f>
        <v/>
      </c>
      <c r="D25" s="4" t="n">
        <v>400000</v>
      </c>
      <c r="E25" t="inlineStr">
        <is>
          <t>returns.entry_equity</t>
        </is>
      </c>
      <c r="F25" t="inlineStr">
        <is>
          <t>money, to 0.01</t>
        </is>
      </c>
    </row>
    <row r="26">
      <c r="A26" t="inlineStr">
        <is>
          <t>Base revenue = EBITDA / (gross margin - opex + D&amp;A)</t>
        </is>
      </c>
      <c r="B26" t="inlineStr">
        <is>
          <t>rev_0</t>
        </is>
      </c>
      <c r="C26" s="4">
        <f>$C$6/($C$7-$C$8+$C$9)</f>
        <v/>
      </c>
      <c r="D26" s="4" t="n">
        <v>400000</v>
      </c>
    </row>
    <row r="27">
      <c r="A27" t="inlineStr">
        <is>
          <t>Y1 revenue</t>
        </is>
      </c>
      <c r="B27" t="inlineStr">
        <is>
          <t>rev_1</t>
        </is>
      </c>
      <c r="C27" s="4">
        <f>$C$26*(1+$C$10)</f>
        <v/>
      </c>
      <c r="D27" s="4" t="n">
        <v>400000</v>
      </c>
      <c r="E27" t="inlineStr">
        <is>
          <t>operating_model.revenue.0</t>
        </is>
      </c>
      <c r="F27" t="inlineStr">
        <is>
          <t>money, to 0.01</t>
        </is>
      </c>
    </row>
    <row r="28">
      <c r="A28" t="inlineStr">
        <is>
          <t>Y1 EBIT = revenue x (gross margin - opex)</t>
        </is>
      </c>
      <c r="B28" t="inlineStr">
        <is>
          <t>ebit_1</t>
        </is>
      </c>
      <c r="C28" s="4">
        <f>$C$27*($C$7-$C$8)</f>
        <v/>
      </c>
      <c r="D28" s="4" t="n">
        <v>80000</v>
      </c>
      <c r="E28" t="inlineStr">
        <is>
          <t>operating_model.ebit.0</t>
        </is>
      </c>
      <c r="F28" t="inlineStr">
        <is>
          <t>money, to 0.01</t>
        </is>
      </c>
    </row>
    <row r="29">
      <c r="A29" t="inlineStr">
        <is>
          <t>Y1 D&amp;A</t>
        </is>
      </c>
      <c r="B29" t="inlineStr">
        <is>
          <t>da_1</t>
        </is>
      </c>
      <c r="C29" s="4">
        <f>$C$27*$C$9</f>
        <v/>
      </c>
      <c r="D29" s="4" t="n">
        <v>20000</v>
      </c>
      <c r="E29" t="inlineStr">
        <is>
          <t>operating_model.da.0</t>
        </is>
      </c>
      <c r="F29" t="inlineStr">
        <is>
          <t>money, to 0.01</t>
        </is>
      </c>
    </row>
    <row r="30">
      <c r="A30" t="inlineStr">
        <is>
          <t>Y1 EBITDA</t>
        </is>
      </c>
      <c r="B30" t="inlineStr">
        <is>
          <t>ebitda_1</t>
        </is>
      </c>
      <c r="C30" s="4">
        <f>$C$28+$C$29</f>
        <v/>
      </c>
      <c r="D30" s="4" t="n">
        <v>100000</v>
      </c>
      <c r="E30" t="inlineStr">
        <is>
          <t>operating_model.ebitda.0</t>
        </is>
      </c>
      <c r="F30" t="inlineStr">
        <is>
          <t>money, to 0.01</t>
        </is>
      </c>
    </row>
    <row r="31">
      <c r="A31" t="inlineStr">
        <is>
          <t>Y1 capex</t>
        </is>
      </c>
      <c r="B31" t="inlineStr">
        <is>
          <t>capex_1</t>
        </is>
      </c>
      <c r="C31" s="4">
        <f>$C$27*$C$11</f>
        <v/>
      </c>
      <c r="D31" s="4" t="n">
        <v>20000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400000</v>
      </c>
      <c r="E33" t="inlineStr">
        <is>
          <t>operating_model.revenue.1</t>
        </is>
      </c>
      <c r="F33" t="inlineStr">
        <is>
          <t>money, to 0.01</t>
        </is>
      </c>
    </row>
    <row r="34">
      <c r="A34" t="inlineStr">
        <is>
          <t>Y2 EBIT = revenue x (gross margin - opex)</t>
        </is>
      </c>
      <c r="B34" t="inlineStr">
        <is>
          <t>ebit_2</t>
        </is>
      </c>
      <c r="C34" s="4">
        <f>$C$33*($C$7-$C$8)</f>
        <v/>
      </c>
      <c r="D34" s="4" t="n">
        <v>80000</v>
      </c>
      <c r="E34" t="inlineStr">
        <is>
          <t>operating_model.ebit.1</t>
        </is>
      </c>
      <c r="F34" t="inlineStr">
        <is>
          <t>money, to 0.01</t>
        </is>
      </c>
    </row>
    <row r="35">
      <c r="A35" t="inlineStr">
        <is>
          <t>Y2 D&amp;A</t>
        </is>
      </c>
      <c r="B35" t="inlineStr">
        <is>
          <t>da_2</t>
        </is>
      </c>
      <c r="C35" s="4">
        <f>$C$33*$C$9</f>
        <v/>
      </c>
      <c r="D35" s="4" t="n">
        <v>20000</v>
      </c>
      <c r="E35" t="inlineStr">
        <is>
          <t>operating_model.da.1</t>
        </is>
      </c>
      <c r="F35" t="inlineStr">
        <is>
          <t>money, to 0.01</t>
        </is>
      </c>
    </row>
    <row r="36">
      <c r="A36" t="inlineStr">
        <is>
          <t>Y2 EBITDA</t>
        </is>
      </c>
      <c r="B36" t="inlineStr">
        <is>
          <t>ebitda_2</t>
        </is>
      </c>
      <c r="C36" s="4">
        <f>$C$34+$C$35</f>
        <v/>
      </c>
      <c r="D36" s="4" t="n">
        <v>100000</v>
      </c>
      <c r="E36" t="inlineStr">
        <is>
          <t>operating_model.ebitda.1</t>
        </is>
      </c>
      <c r="F36" t="inlineStr">
        <is>
          <t>money, to 0.01</t>
        </is>
      </c>
    </row>
    <row r="37">
      <c r="A37" t="inlineStr">
        <is>
          <t>Y2 capex</t>
        </is>
      </c>
      <c r="B37" t="inlineStr">
        <is>
          <t>capex_2</t>
        </is>
      </c>
      <c r="C37" s="4">
        <f>$C$33*$C$11</f>
        <v/>
      </c>
      <c r="D37" s="4" t="n">
        <v>20000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400000</v>
      </c>
      <c r="E39" t="inlineStr">
        <is>
          <t>operating_model.revenue.2</t>
        </is>
      </c>
      <c r="F39" t="inlineStr">
        <is>
          <t>money, to 0.01</t>
        </is>
      </c>
    </row>
    <row r="40">
      <c r="A40" t="inlineStr">
        <is>
          <t>Y3 EBIT = revenue x (gross margin - opex)</t>
        </is>
      </c>
      <c r="B40" t="inlineStr">
        <is>
          <t>ebit_3</t>
        </is>
      </c>
      <c r="C40" s="4">
        <f>$C$39*($C$7-$C$8)</f>
        <v/>
      </c>
      <c r="D40" s="4" t="n">
        <v>80000</v>
      </c>
      <c r="E40" t="inlineStr">
        <is>
          <t>operating_model.ebit.2</t>
        </is>
      </c>
      <c r="F40" t="inlineStr">
        <is>
          <t>money, to 0.01</t>
        </is>
      </c>
    </row>
    <row r="41">
      <c r="A41" t="inlineStr">
        <is>
          <t>Y3 D&amp;A</t>
        </is>
      </c>
      <c r="B41" t="inlineStr">
        <is>
          <t>da_3</t>
        </is>
      </c>
      <c r="C41" s="4">
        <f>$C$39*$C$9</f>
        <v/>
      </c>
      <c r="D41" s="4" t="n">
        <v>20000</v>
      </c>
      <c r="E41" t="inlineStr">
        <is>
          <t>operating_model.da.2</t>
        </is>
      </c>
      <c r="F41" t="inlineStr">
        <is>
          <t>money, to 0.01</t>
        </is>
      </c>
    </row>
    <row r="42">
      <c r="A42" t="inlineStr">
        <is>
          <t>Y3 EBITDA</t>
        </is>
      </c>
      <c r="B42" t="inlineStr">
        <is>
          <t>ebitda_3</t>
        </is>
      </c>
      <c r="C42" s="4">
        <f>$C$40+$C$41</f>
        <v/>
      </c>
      <c r="D42" s="4" t="n">
        <v>100000</v>
      </c>
      <c r="E42" t="inlineStr">
        <is>
          <t>operating_model.ebitda.2</t>
        </is>
      </c>
      <c r="F42" t="inlineStr">
        <is>
          <t>money, to 0.01</t>
        </is>
      </c>
    </row>
    <row r="43">
      <c r="A43" t="inlineStr">
        <is>
          <t>Y3 capex</t>
        </is>
      </c>
      <c r="B43" t="inlineStr">
        <is>
          <t>capex_3</t>
        </is>
      </c>
      <c r="C43" s="4">
        <f>$C$39*$C$11</f>
        <v/>
      </c>
      <c r="D43" s="4" t="n">
        <v>20000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Rate = EURIBOR + margin</t>
        </is>
      </c>
      <c r="B45" t="inlineStr">
        <is>
          <t>rate</t>
        </is>
      </c>
      <c r="C45" s="4">
        <f>$C$17+$C$18</f>
        <v/>
      </c>
      <c r="D45" s="4" t="n">
        <v>0.1</v>
      </c>
    </row>
    <row r="46">
      <c r="A46" t="inlineStr">
        <is>
          <t>Y1 interest expense</t>
        </is>
      </c>
      <c r="B46" t="inlineStr">
        <is>
          <t>int_1</t>
        </is>
      </c>
      <c r="C46" s="4">
        <f>$C$23*$C$45</f>
        <v/>
      </c>
      <c r="D46" s="4" t="n">
        <v>40000</v>
      </c>
      <c r="E46" t="inlineStr">
        <is>
          <t>operating_model.interest_expense.0</t>
        </is>
      </c>
      <c r="F46" t="inlineStr">
        <is>
          <t>money, to 0.01</t>
        </is>
      </c>
    </row>
    <row r="47">
      <c r="A47" t="inlineStr">
        <is>
          <t>Y1 profit before tax = EBIT - interest + interest income</t>
        </is>
      </c>
      <c r="B47" t="inlineStr">
        <is>
          <t>ebt_1</t>
        </is>
      </c>
      <c r="C47" s="4">
        <f>$C$28-$C$46+0</f>
        <v/>
      </c>
      <c r="D47" s="4" t="n">
        <v>40000</v>
      </c>
      <c r="E47" t="inlineStr">
        <is>
          <t>operating_model.ebt.0</t>
        </is>
      </c>
      <c r="F47" t="inlineStr">
        <is>
          <t>money, to 0.01</t>
        </is>
      </c>
    </row>
    <row r="48">
      <c r="A48" t="inlineStr">
        <is>
          <t>Y1 tax</t>
        </is>
      </c>
      <c r="B48" t="inlineStr">
        <is>
          <t>tax_1</t>
        </is>
      </c>
      <c r="C48" s="4">
        <f>MAX($C$47,0)*$C$13</f>
        <v/>
      </c>
      <c r="D48" s="4" t="n">
        <v>10000</v>
      </c>
      <c r="E48" t="inlineStr">
        <is>
          <t>operating_model.taxes.0</t>
        </is>
      </c>
      <c r="F48" t="inlineStr">
        <is>
          <t>money, to 0.01</t>
        </is>
      </c>
    </row>
    <row r="49">
      <c r="A49" t="inlineStr">
        <is>
          <t>Y1 net income</t>
        </is>
      </c>
      <c r="B49" t="inlineStr">
        <is>
          <t>ni_1</t>
        </is>
      </c>
      <c r="C49" s="4">
        <f>$C$47-$C$48</f>
        <v/>
      </c>
      <c r="D49" s="4" t="n">
        <v>30000</v>
      </c>
      <c r="E49" t="inlineStr">
        <is>
          <t>operating_model.net_income.0</t>
        </is>
      </c>
      <c r="F49" t="inlineStr">
        <is>
          <t>money, to 0.01</t>
        </is>
      </c>
    </row>
    <row r="50">
      <c r="A50" t="inlineStr">
        <is>
          <t>Y1 levered free cash flow (before repaying debt)</t>
        </is>
      </c>
      <c r="B50" t="inlineStr">
        <is>
          <t>fcf_1</t>
        </is>
      </c>
      <c r="C50" s="4">
        <f>$C$49+$C$29-$C$31-$C$32</f>
        <v/>
      </c>
      <c r="D50" s="4" t="n">
        <v>30000</v>
      </c>
      <c r="E50" t="inlineStr">
        <is>
          <t>cash_flow.levered_fcf.0</t>
        </is>
      </c>
      <c r="F50" t="inlineStr">
        <is>
          <t>money, to 0.01</t>
        </is>
      </c>
    </row>
    <row r="51">
      <c r="A51" t="inlineStr">
        <is>
          <t>Y1 closing cash above the minimum</t>
        </is>
      </c>
      <c r="B51" t="inlineStr">
        <is>
          <t>cash_1</t>
        </is>
      </c>
      <c r="C51" s="4">
        <f>0+$C$50</f>
        <v/>
      </c>
      <c r="D51" s="4" t="n">
        <v>30000</v>
      </c>
    </row>
    <row r="52">
      <c r="A52" t="inlineStr">
        <is>
          <t>Y1 Term loan closing balance</t>
        </is>
      </c>
      <c r="B52" t="inlineStr">
        <is>
          <t>bal_1</t>
        </is>
      </c>
      <c r="C52" s="4">
        <f>$C$23</f>
        <v/>
      </c>
      <c r="D52" s="4" t="n">
        <v>400000</v>
      </c>
      <c r="E52" t="inlineStr">
        <is>
          <t>tranches.Term loan.0.ending_balance</t>
        </is>
      </c>
      <c r="F52" t="inlineStr">
        <is>
          <t>money, to 0.01</t>
        </is>
      </c>
    </row>
    <row r="53">
      <c r="A53" t="inlineStr">
        <is>
          <t>Y2 interest expense</t>
        </is>
      </c>
      <c r="B53" t="inlineStr">
        <is>
          <t>int_2</t>
        </is>
      </c>
      <c r="C53" s="4">
        <f>$C$23*$C$45</f>
        <v/>
      </c>
      <c r="D53" s="4" t="n">
        <v>40000</v>
      </c>
      <c r="E53" t="inlineStr">
        <is>
          <t>operating_model.interest_expense.1</t>
        </is>
      </c>
      <c r="F53" t="inlineStr">
        <is>
          <t>money, to 0.01</t>
        </is>
      </c>
    </row>
    <row r="54">
      <c r="A54" t="inlineStr">
        <is>
          <t>Y2 profit before tax = EBIT - interest + interest income</t>
        </is>
      </c>
      <c r="B54" t="inlineStr">
        <is>
          <t>ebt_2</t>
        </is>
      </c>
      <c r="C54" s="4">
        <f>$C$34-$C$53+0</f>
        <v/>
      </c>
      <c r="D54" s="4" t="n">
        <v>40000</v>
      </c>
      <c r="E54" t="inlineStr">
        <is>
          <t>operating_model.ebt.1</t>
        </is>
      </c>
      <c r="F54" t="inlineStr">
        <is>
          <t>money, to 0.01</t>
        </is>
      </c>
    </row>
    <row r="55">
      <c r="A55" t="inlineStr">
        <is>
          <t>Y2 tax</t>
        </is>
      </c>
      <c r="B55" t="inlineStr">
        <is>
          <t>tax_2</t>
        </is>
      </c>
      <c r="C55" s="4">
        <f>MAX($C$54,0)*$C$13</f>
        <v/>
      </c>
      <c r="D55" s="4" t="n">
        <v>10000</v>
      </c>
      <c r="E55" t="inlineStr">
        <is>
          <t>operating_model.taxes.1</t>
        </is>
      </c>
      <c r="F55" t="inlineStr">
        <is>
          <t>money, to 0.01</t>
        </is>
      </c>
    </row>
    <row r="56">
      <c r="A56" t="inlineStr">
        <is>
          <t>Y2 net income</t>
        </is>
      </c>
      <c r="B56" t="inlineStr">
        <is>
          <t>ni_2</t>
        </is>
      </c>
      <c r="C56" s="4">
        <f>$C$54-$C$55</f>
        <v/>
      </c>
      <c r="D56" s="4" t="n">
        <v>30000</v>
      </c>
      <c r="E56" t="inlineStr">
        <is>
          <t>operating_model.net_income.1</t>
        </is>
      </c>
      <c r="F56" t="inlineStr">
        <is>
          <t>money, to 0.01</t>
        </is>
      </c>
    </row>
    <row r="57">
      <c r="A57" t="inlineStr">
        <is>
          <t>Y2 levered free cash flow (before repaying debt)</t>
        </is>
      </c>
      <c r="B57" t="inlineStr">
        <is>
          <t>fcf_2</t>
        </is>
      </c>
      <c r="C57" s="4">
        <f>$C$56+$C$35-$C$37-$C$38</f>
        <v/>
      </c>
      <c r="D57" s="4" t="n">
        <v>30000</v>
      </c>
      <c r="E57" t="inlineStr">
        <is>
          <t>cash_flow.levered_fcf.1</t>
        </is>
      </c>
      <c r="F57" t="inlineStr">
        <is>
          <t>money, to 0.01</t>
        </is>
      </c>
    </row>
    <row r="58">
      <c r="A58" t="inlineStr">
        <is>
          <t>Y2 closing cash above the minimum</t>
        </is>
      </c>
      <c r="B58" t="inlineStr">
        <is>
          <t>cash_2</t>
        </is>
      </c>
      <c r="C58" s="4">
        <f>$C$51+$C$57</f>
        <v/>
      </c>
      <c r="D58" s="4" t="n">
        <v>60000</v>
      </c>
    </row>
    <row r="59">
      <c r="A59" t="inlineStr">
        <is>
          <t>Y2 Term loan closing balance</t>
        </is>
      </c>
      <c r="B59" t="inlineStr">
        <is>
          <t>bal_2</t>
        </is>
      </c>
      <c r="C59" s="4">
        <f>$C$23</f>
        <v/>
      </c>
      <c r="D59" s="4" t="n">
        <v>400000</v>
      </c>
      <c r="E59" t="inlineStr">
        <is>
          <t>tranches.Term loan.1.ending_balance</t>
        </is>
      </c>
      <c r="F59" t="inlineStr">
        <is>
          <t>money, to 0.01</t>
        </is>
      </c>
    </row>
    <row r="60">
      <c r="A60" t="inlineStr">
        <is>
          <t>Y3 interest expense</t>
        </is>
      </c>
      <c r="B60" t="inlineStr">
        <is>
          <t>int_3</t>
        </is>
      </c>
      <c r="C60" s="4">
        <f>$C$23*$C$45</f>
        <v/>
      </c>
      <c r="D60" s="4" t="n">
        <v>40000</v>
      </c>
      <c r="E60" t="inlineStr">
        <is>
          <t>operating_model.interest_expense.2</t>
        </is>
      </c>
      <c r="F60" t="inlineStr">
        <is>
          <t>money, to 0.01</t>
        </is>
      </c>
    </row>
    <row r="61">
      <c r="A61" t="inlineStr">
        <is>
          <t>Y3 profit before tax = EBIT - interest + interest income</t>
        </is>
      </c>
      <c r="B61" t="inlineStr">
        <is>
          <t>ebt_3</t>
        </is>
      </c>
      <c r="C61" s="4">
        <f>$C$40-$C$60+0</f>
        <v/>
      </c>
      <c r="D61" s="4" t="n">
        <v>40000</v>
      </c>
      <c r="E61" t="inlineStr">
        <is>
          <t>operating_model.ebt.2</t>
        </is>
      </c>
      <c r="F61" t="inlineStr">
        <is>
          <t>money, to 0.01</t>
        </is>
      </c>
    </row>
    <row r="62">
      <c r="A62" t="inlineStr">
        <is>
          <t>Y3 tax</t>
        </is>
      </c>
      <c r="B62" t="inlineStr">
        <is>
          <t>tax_3</t>
        </is>
      </c>
      <c r="C62" s="4">
        <f>MAX($C$61,0)*$C$13</f>
        <v/>
      </c>
      <c r="D62" s="4" t="n">
        <v>10000</v>
      </c>
      <c r="E62" t="inlineStr">
        <is>
          <t>operating_model.taxes.2</t>
        </is>
      </c>
      <c r="F62" t="inlineStr">
        <is>
          <t>money, to 0.01</t>
        </is>
      </c>
    </row>
    <row r="63">
      <c r="A63" t="inlineStr">
        <is>
          <t>Y3 net income</t>
        </is>
      </c>
      <c r="B63" t="inlineStr">
        <is>
          <t>ni_3</t>
        </is>
      </c>
      <c r="C63" s="4">
        <f>$C$61-$C$62</f>
        <v/>
      </c>
      <c r="D63" s="4" t="n">
        <v>30000</v>
      </c>
      <c r="E63" t="inlineStr">
        <is>
          <t>operating_model.net_income.2</t>
        </is>
      </c>
      <c r="F63" t="inlineStr">
        <is>
          <t>money, to 0.01</t>
        </is>
      </c>
    </row>
    <row r="64">
      <c r="A64" t="inlineStr">
        <is>
          <t>Y3 levered free cash flow (before repaying debt)</t>
        </is>
      </c>
      <c r="B64" t="inlineStr">
        <is>
          <t>fcf_3</t>
        </is>
      </c>
      <c r="C64" s="4">
        <f>$C$63+$C$41-$C$43-$C$44</f>
        <v/>
      </c>
      <c r="D64" s="4" t="n">
        <v>30000</v>
      </c>
      <c r="E64" t="inlineStr">
        <is>
          <t>cash_flow.levered_fcf.2</t>
        </is>
      </c>
      <c r="F64" t="inlineStr">
        <is>
          <t>money, to 0.01</t>
        </is>
      </c>
    </row>
    <row r="65">
      <c r="A65" t="inlineStr">
        <is>
          <t>Y3 closing cash above the minimum</t>
        </is>
      </c>
      <c r="B65" t="inlineStr">
        <is>
          <t>cash_3</t>
        </is>
      </c>
      <c r="C65" s="4">
        <f>$C$58+$C$64</f>
        <v/>
      </c>
      <c r="D65" s="4" t="n">
        <v>90000</v>
      </c>
    </row>
    <row r="66">
      <c r="A66" t="inlineStr">
        <is>
          <t>Y3 Term loan closing balance</t>
        </is>
      </c>
      <c r="B66" t="inlineStr">
        <is>
          <t>bal_3</t>
        </is>
      </c>
      <c r="C66" s="4">
        <f>$C$23</f>
        <v/>
      </c>
      <c r="D66" s="4" t="n">
        <v>400000</v>
      </c>
      <c r="E66" t="inlineStr">
        <is>
          <t>tranches.Term loan.2.ending_balance</t>
        </is>
      </c>
      <c r="F66" t="inlineStr">
        <is>
          <t>money, to 0.01</t>
        </is>
      </c>
    </row>
    <row r="67">
      <c r="A67" t="inlineStr">
        <is>
          <t>Net debt at exit (debt - cash + lease liability)</t>
        </is>
      </c>
      <c r="B67" t="inlineStr">
        <is>
          <t>net_debt_exit</t>
        </is>
      </c>
      <c r="C67" s="4">
        <f>$C$66-$C$65</f>
        <v/>
      </c>
      <c r="D67" s="4" t="n">
        <v>310000</v>
      </c>
      <c r="E67" t="inlineStr">
        <is>
          <t>returns.net_debt_at_exit</t>
        </is>
      </c>
      <c r="F67" t="inlineStr">
        <is>
          <t>money, to 0.01</t>
        </is>
      </c>
    </row>
    <row r="68">
      <c r="A68" t="inlineStr">
        <is>
          <t>Exit EV = (final-year EBITDA + lease add-back) x exit multiple</t>
        </is>
      </c>
      <c r="B68" t="inlineStr">
        <is>
          <t>exit_ev</t>
        </is>
      </c>
      <c r="C68" s="4">
        <f>($C$42+0)*$C$15</f>
        <v/>
      </c>
      <c r="D68" s="4" t="n">
        <v>800000</v>
      </c>
      <c r="E68" t="inlineStr">
        <is>
          <t>returns.exit_ev</t>
        </is>
      </c>
      <c r="F68" t="inlineStr">
        <is>
          <t>money, to 0.01</t>
        </is>
      </c>
    </row>
    <row r="69">
      <c r="A69" t="inlineStr">
        <is>
          <t>Exit equity = exit EV - net debt</t>
        </is>
      </c>
      <c r="B69" t="inlineStr">
        <is>
          <t>exit_equity</t>
        </is>
      </c>
      <c r="C69" s="4">
        <f>$C$68-$C$67</f>
        <v/>
      </c>
      <c r="D69" s="4" t="n">
        <v>490000</v>
      </c>
      <c r="E69" t="inlineStr">
        <is>
          <t>returns.net_exit_equity</t>
        </is>
      </c>
      <c r="F69" t="inlineStr">
        <is>
          <t>money, to 0.01</t>
        </is>
      </c>
    </row>
    <row r="70">
      <c r="A70" t="inlineStr">
        <is>
          <t>MOIC = exit equity / entry equity</t>
        </is>
      </c>
      <c r="B70" t="inlineStr">
        <is>
          <t>moic</t>
        </is>
      </c>
      <c r="C70" s="5">
        <f>$C$69/$C$25</f>
        <v/>
      </c>
      <c r="D70" s="5" t="n">
        <v>1.225</v>
      </c>
      <c r="E70" t="inlineStr">
        <is>
          <t>returns.moic</t>
        </is>
      </c>
      <c r="F70" t="inlineStr">
        <is>
          <t>multiple, to 0.01</t>
        </is>
      </c>
    </row>
    <row r="71">
      <c r="A71" t="inlineStr">
        <is>
          <t>IRR = MOIC ^ (1 / years) - 1</t>
        </is>
      </c>
      <c r="B71" t="inlineStr">
        <is>
          <t>irr</t>
        </is>
      </c>
      <c r="C71" s="6">
        <f>$C$70^(1/$C$16)-1</f>
        <v/>
      </c>
      <c r="D71" s="6" t="n">
        <v>0.06998748056507953</v>
      </c>
      <c r="E71" t="inlineStr">
        <is>
          <t>returns.irr</t>
        </is>
      </c>
      <c r="F71" t="inlineStr">
        <is>
          <t>per cent, to 0.01</t>
        </is>
      </c>
    </row>
    <row r="73">
      <c r="A73" s="3" t="inlineStr">
        <is>
          <t>Headline answers, typed by hand</t>
        </is>
      </c>
    </row>
    <row r="74">
      <c r="A74" t="inlineStr">
        <is>
          <t>Sponsor equity = EV + costs + minimum cash - debt - lease liability</t>
        </is>
      </c>
      <c r="B74" t="inlineStr">
        <is>
          <t>equity</t>
        </is>
      </c>
      <c r="D74" s="4" t="n">
        <v>400000</v>
      </c>
    </row>
    <row r="75">
      <c r="A75" t="inlineStr">
        <is>
          <t>Exit equity = exit EV - net debt</t>
        </is>
      </c>
      <c r="B75" t="inlineStr">
        <is>
          <t>exit_equity</t>
        </is>
      </c>
      <c r="D75" s="4" t="n">
        <v>490000</v>
      </c>
    </row>
  </sheetData>
  <mergeCells count="1">
    <mergeCell ref="A3:F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22. Yen deal in billions, March year-end, negative reference rate</t>
        </is>
      </c>
    </row>
    <row r="2">
      <c r="A2" t="inlineStr">
        <is>
          <t>Covers: March year-end, non-USD, floating with floor</t>
        </is>
      </c>
    </row>
    <row r="3" ht="90" customHeight="1">
      <c r="A3" s="2" t="inlineStr">
        <is>
          <t>A Japanese deal in billions of yen with a fiscal year ending in March, first projected year FY2026/27. Fiscal years are labels: year 1 is still the first full year after close, so the figures are what a December year-end gives. The loan pays TONA (-0.1%) floored at 0, plus 4%: 4%, so 16 of interest and 48 of cash a year.</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tona</t>
        </is>
      </c>
      <c r="B17" t="inlineStr">
        <is>
          <t>tona</t>
        </is>
      </c>
      <c r="C17" t="n">
        <v>-0.001</v>
      </c>
    </row>
    <row r="18">
      <c r="A18" t="inlineStr">
        <is>
          <t>floor</t>
        </is>
      </c>
      <c r="B18" t="inlineStr">
        <is>
          <t>floor</t>
        </is>
      </c>
      <c r="C18" t="n">
        <v>0</v>
      </c>
    </row>
    <row r="19">
      <c r="A19" t="inlineStr">
        <is>
          <t>margin</t>
        </is>
      </c>
      <c r="B19" t="inlineStr">
        <is>
          <t>margin</t>
        </is>
      </c>
      <c r="C19" t="n">
        <v>0.04</v>
      </c>
    </row>
    <row r="21">
      <c r="A21" s="3" t="inlineStr">
        <is>
          <t>Working</t>
        </is>
      </c>
      <c r="B21" s="3" t="inlineStr">
        <is>
          <t>Name</t>
        </is>
      </c>
      <c r="C21" s="3" t="inlineStr">
        <is>
          <t>Formula</t>
        </is>
      </c>
      <c r="D21" s="3" t="inlineStr">
        <is>
          <t>Comes to</t>
        </is>
      </c>
      <c r="E21" s="3" t="inlineStr">
        <is>
          <t>Engine figure it must match</t>
        </is>
      </c>
      <c r="F21" s="3" t="inlineStr">
        <is>
          <t>Compared as</t>
        </is>
      </c>
    </row>
    <row r="22">
      <c r="A22" t="inlineStr">
        <is>
          <t>Operating EBITDA (what the model grows)</t>
        </is>
      </c>
      <c r="B22" t="inlineStr">
        <is>
          <t>op_ebitda</t>
        </is>
      </c>
      <c r="C22" s="4">
        <f>$C$6</f>
        <v/>
      </c>
      <c r="D22" s="4" t="n">
        <v>100</v>
      </c>
    </row>
    <row r="23">
      <c r="A23" t="inlineStr">
        <is>
          <t>Entry EV = (EBITDA + lease add-back) x entry multiple</t>
        </is>
      </c>
      <c r="B23" t="inlineStr">
        <is>
          <t>ev</t>
        </is>
      </c>
      <c r="C23" s="4">
        <f>($C$22+0)*$C$14</f>
        <v/>
      </c>
      <c r="D23" s="4" t="n">
        <v>800</v>
      </c>
    </row>
    <row r="24">
      <c r="A24" t="inlineStr">
        <is>
          <t>Debt drawn at close</t>
        </is>
      </c>
      <c r="B24" t="inlineStr">
        <is>
          <t>debt</t>
        </is>
      </c>
      <c r="C24" s="4">
        <f>400</f>
        <v/>
      </c>
      <c r="D24" s="4" t="n">
        <v>400</v>
      </c>
    </row>
    <row r="25">
      <c r="A25" t="inlineStr">
        <is>
          <t>Entry costs (fees and other uses)</t>
        </is>
      </c>
      <c r="B25" t="inlineStr">
        <is>
          <t>costs</t>
        </is>
      </c>
      <c r="C25" s="4">
        <f>0</f>
        <v/>
      </c>
      <c r="D25" s="4" t="n">
        <v>0</v>
      </c>
    </row>
    <row r="26">
      <c r="A26" t="inlineStr">
        <is>
          <t>Sponsor equity = EV + costs + minimum cash - debt - lease liability</t>
        </is>
      </c>
      <c r="B26" t="inlineStr">
        <is>
          <t>equity</t>
        </is>
      </c>
      <c r="C26" s="4">
        <f>$C$23+$C$25+0-$C$24-0</f>
        <v/>
      </c>
      <c r="D26" s="4" t="n">
        <v>400</v>
      </c>
      <c r="E26" t="inlineStr">
        <is>
          <t>returns.entry_equity</t>
        </is>
      </c>
      <c r="F26" t="inlineStr">
        <is>
          <t>money, to 0.01</t>
        </is>
      </c>
    </row>
    <row r="27">
      <c r="A27" t="inlineStr">
        <is>
          <t>Base revenue = EBITDA / (gross margin - opex + D&amp;A)</t>
        </is>
      </c>
      <c r="B27" t="inlineStr">
        <is>
          <t>rev_0</t>
        </is>
      </c>
      <c r="C27" s="4">
        <f>$C$6/($C$7-$C$8+$C$9)</f>
        <v/>
      </c>
      <c r="D27" s="4" t="n">
        <v>400</v>
      </c>
    </row>
    <row r="28">
      <c r="A28" t="inlineStr">
        <is>
          <t>Y1 revenue</t>
        </is>
      </c>
      <c r="B28" t="inlineStr">
        <is>
          <t>rev_1</t>
        </is>
      </c>
      <c r="C28" s="4">
        <f>$C$27*(1+$C$10)</f>
        <v/>
      </c>
      <c r="D28" s="4" t="n">
        <v>400</v>
      </c>
      <c r="E28" t="inlineStr">
        <is>
          <t>operating_model.revenue.0</t>
        </is>
      </c>
      <c r="F28" t="inlineStr">
        <is>
          <t>money, to 0.01</t>
        </is>
      </c>
    </row>
    <row r="29">
      <c r="A29" t="inlineStr">
        <is>
          <t>Y1 EBIT = revenue x (gross margin - opex)</t>
        </is>
      </c>
      <c r="B29" t="inlineStr">
        <is>
          <t>ebit_1</t>
        </is>
      </c>
      <c r="C29" s="4">
        <f>$C$28*($C$7-$C$8)</f>
        <v/>
      </c>
      <c r="D29" s="4" t="n">
        <v>80</v>
      </c>
      <c r="E29" t="inlineStr">
        <is>
          <t>operating_model.ebit.0</t>
        </is>
      </c>
      <c r="F29" t="inlineStr">
        <is>
          <t>money, to 0.01</t>
        </is>
      </c>
    </row>
    <row r="30">
      <c r="A30" t="inlineStr">
        <is>
          <t>Y1 D&amp;A</t>
        </is>
      </c>
      <c r="B30" t="inlineStr">
        <is>
          <t>da_1</t>
        </is>
      </c>
      <c r="C30" s="4">
        <f>$C$28*$C$9</f>
        <v/>
      </c>
      <c r="D30" s="4" t="n">
        <v>20</v>
      </c>
      <c r="E30" t="inlineStr">
        <is>
          <t>operating_model.da.0</t>
        </is>
      </c>
      <c r="F30" t="inlineStr">
        <is>
          <t>money, to 0.01</t>
        </is>
      </c>
    </row>
    <row r="31">
      <c r="A31" t="inlineStr">
        <is>
          <t>Y1 EBITDA</t>
        </is>
      </c>
      <c r="B31" t="inlineStr">
        <is>
          <t>ebitda_1</t>
        </is>
      </c>
      <c r="C31" s="4">
        <f>$C$29+$C$30</f>
        <v/>
      </c>
      <c r="D31" s="4" t="n">
        <v>100</v>
      </c>
      <c r="E31" t="inlineStr">
        <is>
          <t>operating_model.ebitda.0</t>
        </is>
      </c>
      <c r="F31" t="inlineStr">
        <is>
          <t>money, to 0.01</t>
        </is>
      </c>
    </row>
    <row r="32">
      <c r="A32" t="inlineStr">
        <is>
          <t>Y1 capex</t>
        </is>
      </c>
      <c r="B32" t="inlineStr">
        <is>
          <t>capex_1</t>
        </is>
      </c>
      <c r="C32" s="4">
        <f>$C$28*$C$11</f>
        <v/>
      </c>
      <c r="D32" s="4" t="n">
        <v>20</v>
      </c>
      <c r="E32" t="inlineStr">
        <is>
          <t>cash_flow.capex.0</t>
        </is>
      </c>
      <c r="F32" t="inlineStr">
        <is>
          <t>money, to 0.01</t>
        </is>
      </c>
    </row>
    <row r="33">
      <c r="A33" t="inlineStr">
        <is>
          <t>Y1 change in working capital</t>
        </is>
      </c>
      <c r="B33" t="inlineStr">
        <is>
          <t>dnwc_1</t>
        </is>
      </c>
      <c r="C33" s="4">
        <f>$C$28*$C$12</f>
        <v/>
      </c>
      <c r="D33" s="4" t="n">
        <v>0</v>
      </c>
      <c r="E33" t="inlineStr">
        <is>
          <t>cash_flow.delta_nwc.0</t>
        </is>
      </c>
      <c r="F33" t="inlineStr">
        <is>
          <t>money, to 0.01</t>
        </is>
      </c>
    </row>
    <row r="34">
      <c r="A34" t="inlineStr">
        <is>
          <t>Y2 revenue</t>
        </is>
      </c>
      <c r="B34" t="inlineStr">
        <is>
          <t>rev_2</t>
        </is>
      </c>
      <c r="C34" s="4">
        <f>$C$28*(1+$C$10)</f>
        <v/>
      </c>
      <c r="D34" s="4" t="n">
        <v>400</v>
      </c>
      <c r="E34" t="inlineStr">
        <is>
          <t>operating_model.revenue.1</t>
        </is>
      </c>
      <c r="F34" t="inlineStr">
        <is>
          <t>money, to 0.01</t>
        </is>
      </c>
    </row>
    <row r="35">
      <c r="A35" t="inlineStr">
        <is>
          <t>Y2 EBIT = revenue x (gross margin - opex)</t>
        </is>
      </c>
      <c r="B35" t="inlineStr">
        <is>
          <t>ebit_2</t>
        </is>
      </c>
      <c r="C35" s="4">
        <f>$C$34*($C$7-$C$8)</f>
        <v/>
      </c>
      <c r="D35" s="4" t="n">
        <v>80</v>
      </c>
      <c r="E35" t="inlineStr">
        <is>
          <t>operating_model.ebit.1</t>
        </is>
      </c>
      <c r="F35" t="inlineStr">
        <is>
          <t>money, to 0.01</t>
        </is>
      </c>
    </row>
    <row r="36">
      <c r="A36" t="inlineStr">
        <is>
          <t>Y2 D&amp;A</t>
        </is>
      </c>
      <c r="B36" t="inlineStr">
        <is>
          <t>da_2</t>
        </is>
      </c>
      <c r="C36" s="4">
        <f>$C$34*$C$9</f>
        <v/>
      </c>
      <c r="D36" s="4" t="n">
        <v>20</v>
      </c>
      <c r="E36" t="inlineStr">
        <is>
          <t>operating_model.da.1</t>
        </is>
      </c>
      <c r="F36" t="inlineStr">
        <is>
          <t>money, to 0.01</t>
        </is>
      </c>
    </row>
    <row r="37">
      <c r="A37" t="inlineStr">
        <is>
          <t>Y2 EBITDA</t>
        </is>
      </c>
      <c r="B37" t="inlineStr">
        <is>
          <t>ebitda_2</t>
        </is>
      </c>
      <c r="C37" s="4">
        <f>$C$35+$C$36</f>
        <v/>
      </c>
      <c r="D37" s="4" t="n">
        <v>100</v>
      </c>
      <c r="E37" t="inlineStr">
        <is>
          <t>operating_model.ebitda.1</t>
        </is>
      </c>
      <c r="F37" t="inlineStr">
        <is>
          <t>money, to 0.01</t>
        </is>
      </c>
    </row>
    <row r="38">
      <c r="A38" t="inlineStr">
        <is>
          <t>Y2 capex</t>
        </is>
      </c>
      <c r="B38" t="inlineStr">
        <is>
          <t>capex_2</t>
        </is>
      </c>
      <c r="C38" s="4">
        <f>$C$34*$C$11</f>
        <v/>
      </c>
      <c r="D38" s="4" t="n">
        <v>20</v>
      </c>
      <c r="E38" t="inlineStr">
        <is>
          <t>cash_flow.capex.1</t>
        </is>
      </c>
      <c r="F38" t="inlineStr">
        <is>
          <t>money, to 0.01</t>
        </is>
      </c>
    </row>
    <row r="39">
      <c r="A39" t="inlineStr">
        <is>
          <t>Y2 change in working capital</t>
        </is>
      </c>
      <c r="B39" t="inlineStr">
        <is>
          <t>dnwc_2</t>
        </is>
      </c>
      <c r="C39" s="4">
        <f>$C$34*$C$12</f>
        <v/>
      </c>
      <c r="D39" s="4" t="n">
        <v>0</v>
      </c>
      <c r="E39" t="inlineStr">
        <is>
          <t>cash_flow.delta_nwc.1</t>
        </is>
      </c>
      <c r="F39" t="inlineStr">
        <is>
          <t>money, to 0.01</t>
        </is>
      </c>
    </row>
    <row r="40">
      <c r="A40" t="inlineStr">
        <is>
          <t>Y3 revenue</t>
        </is>
      </c>
      <c r="B40" t="inlineStr">
        <is>
          <t>rev_3</t>
        </is>
      </c>
      <c r="C40" s="4">
        <f>$C$34*(1+$C$10)</f>
        <v/>
      </c>
      <c r="D40" s="4" t="n">
        <v>400</v>
      </c>
      <c r="E40" t="inlineStr">
        <is>
          <t>operating_model.revenue.2</t>
        </is>
      </c>
      <c r="F40" t="inlineStr">
        <is>
          <t>money, to 0.01</t>
        </is>
      </c>
    </row>
    <row r="41">
      <c r="A41" t="inlineStr">
        <is>
          <t>Y3 EBIT = revenue x (gross margin - opex)</t>
        </is>
      </c>
      <c r="B41" t="inlineStr">
        <is>
          <t>ebit_3</t>
        </is>
      </c>
      <c r="C41" s="4">
        <f>$C$40*($C$7-$C$8)</f>
        <v/>
      </c>
      <c r="D41" s="4" t="n">
        <v>80</v>
      </c>
      <c r="E41" t="inlineStr">
        <is>
          <t>operating_model.ebit.2</t>
        </is>
      </c>
      <c r="F41" t="inlineStr">
        <is>
          <t>money, to 0.01</t>
        </is>
      </c>
    </row>
    <row r="42">
      <c r="A42" t="inlineStr">
        <is>
          <t>Y3 D&amp;A</t>
        </is>
      </c>
      <c r="B42" t="inlineStr">
        <is>
          <t>da_3</t>
        </is>
      </c>
      <c r="C42" s="4">
        <f>$C$40*$C$9</f>
        <v/>
      </c>
      <c r="D42" s="4" t="n">
        <v>20</v>
      </c>
      <c r="E42" t="inlineStr">
        <is>
          <t>operating_model.da.2</t>
        </is>
      </c>
      <c r="F42" t="inlineStr">
        <is>
          <t>money, to 0.01</t>
        </is>
      </c>
    </row>
    <row r="43">
      <c r="A43" t="inlineStr">
        <is>
          <t>Y3 EBITDA</t>
        </is>
      </c>
      <c r="B43" t="inlineStr">
        <is>
          <t>ebitda_3</t>
        </is>
      </c>
      <c r="C43" s="4">
        <f>$C$41+$C$42</f>
        <v/>
      </c>
      <c r="D43" s="4" t="n">
        <v>100</v>
      </c>
      <c r="E43" t="inlineStr">
        <is>
          <t>operating_model.ebitda.2</t>
        </is>
      </c>
      <c r="F43" t="inlineStr">
        <is>
          <t>money, to 0.01</t>
        </is>
      </c>
    </row>
    <row r="44">
      <c r="A44" t="inlineStr">
        <is>
          <t>Y3 capex</t>
        </is>
      </c>
      <c r="B44" t="inlineStr">
        <is>
          <t>capex_3</t>
        </is>
      </c>
      <c r="C44" s="4">
        <f>$C$40*$C$11</f>
        <v/>
      </c>
      <c r="D44" s="4" t="n">
        <v>20</v>
      </c>
      <c r="E44" t="inlineStr">
        <is>
          <t>cash_flow.capex.2</t>
        </is>
      </c>
      <c r="F44" t="inlineStr">
        <is>
          <t>money, to 0.01</t>
        </is>
      </c>
    </row>
    <row r="45">
      <c r="A45" t="inlineStr">
        <is>
          <t>Y3 change in working capital</t>
        </is>
      </c>
      <c r="B45" t="inlineStr">
        <is>
          <t>dnwc_3</t>
        </is>
      </c>
      <c r="C45" s="4">
        <f>$C$40*$C$12</f>
        <v/>
      </c>
      <c r="D45" s="4" t="n">
        <v>0</v>
      </c>
      <c r="E45" t="inlineStr">
        <is>
          <t>cash_flow.delta_nwc.2</t>
        </is>
      </c>
      <c r="F45" t="inlineStr">
        <is>
          <t>money, to 0.01</t>
        </is>
      </c>
    </row>
    <row r="46">
      <c r="A46" t="inlineStr">
        <is>
          <t>Rate = max(TONA, floor) + margin: the floor lifts -0.1% to 0</t>
        </is>
      </c>
      <c r="B46" t="inlineStr">
        <is>
          <t>rate</t>
        </is>
      </c>
      <c r="C46" s="6">
        <f>MAX($C$17,$C$18)+$C$19</f>
        <v/>
      </c>
      <c r="D46" s="6" t="n">
        <v>0.04</v>
      </c>
      <c r="E46" t="inlineStr">
        <is>
          <t>tranches.Term loan.0.interest_rate</t>
        </is>
      </c>
      <c r="F46" t="inlineStr">
        <is>
          <t>per cent, to 0.01</t>
        </is>
      </c>
    </row>
    <row r="47">
      <c r="A47" t="inlineStr">
        <is>
          <t>Y1 interest expense</t>
        </is>
      </c>
      <c r="B47" t="inlineStr">
        <is>
          <t>int_1</t>
        </is>
      </c>
      <c r="C47" s="4">
        <f>$C$24*$C$46</f>
        <v/>
      </c>
      <c r="D47" s="4" t="n">
        <v>16</v>
      </c>
      <c r="E47" t="inlineStr">
        <is>
          <t>operating_model.interest_expense.0</t>
        </is>
      </c>
      <c r="F47" t="inlineStr">
        <is>
          <t>money, to 0.01</t>
        </is>
      </c>
    </row>
    <row r="48">
      <c r="A48" t="inlineStr">
        <is>
          <t>Y1 profit before tax = EBIT - interest + interest income</t>
        </is>
      </c>
      <c r="B48" t="inlineStr">
        <is>
          <t>ebt_1</t>
        </is>
      </c>
      <c r="C48" s="4">
        <f>$C$29-$C$47+0</f>
        <v/>
      </c>
      <c r="D48" s="4" t="n">
        <v>64</v>
      </c>
      <c r="E48" t="inlineStr">
        <is>
          <t>operating_model.ebt.0</t>
        </is>
      </c>
      <c r="F48" t="inlineStr">
        <is>
          <t>money, to 0.01</t>
        </is>
      </c>
    </row>
    <row r="49">
      <c r="A49" t="inlineStr">
        <is>
          <t>Y1 tax</t>
        </is>
      </c>
      <c r="B49" t="inlineStr">
        <is>
          <t>tax_1</t>
        </is>
      </c>
      <c r="C49" s="4">
        <f>MAX($C$48,0)*$C$13</f>
        <v/>
      </c>
      <c r="D49" s="4" t="n">
        <v>16</v>
      </c>
      <c r="E49" t="inlineStr">
        <is>
          <t>operating_model.taxes.0</t>
        </is>
      </c>
      <c r="F49" t="inlineStr">
        <is>
          <t>money, to 0.01</t>
        </is>
      </c>
    </row>
    <row r="50">
      <c r="A50" t="inlineStr">
        <is>
          <t>Y1 net income</t>
        </is>
      </c>
      <c r="B50" t="inlineStr">
        <is>
          <t>ni_1</t>
        </is>
      </c>
      <c r="C50" s="4">
        <f>$C$48-$C$49</f>
        <v/>
      </c>
      <c r="D50" s="4" t="n">
        <v>48</v>
      </c>
      <c r="E50" t="inlineStr">
        <is>
          <t>operating_model.net_income.0</t>
        </is>
      </c>
      <c r="F50" t="inlineStr">
        <is>
          <t>money, to 0.01</t>
        </is>
      </c>
    </row>
    <row r="51">
      <c r="A51" t="inlineStr">
        <is>
          <t>Y1 levered free cash flow (before repaying debt)</t>
        </is>
      </c>
      <c r="B51" t="inlineStr">
        <is>
          <t>fcf_1</t>
        </is>
      </c>
      <c r="C51" s="4">
        <f>$C$50+$C$30-$C$32-$C$33</f>
        <v/>
      </c>
      <c r="D51" s="4" t="n">
        <v>48</v>
      </c>
      <c r="E51" t="inlineStr">
        <is>
          <t>cash_flow.levered_fcf.0</t>
        </is>
      </c>
      <c r="F51" t="inlineStr">
        <is>
          <t>money, to 0.01</t>
        </is>
      </c>
    </row>
    <row r="52">
      <c r="A52" t="inlineStr">
        <is>
          <t>Y1 closing cash above the minimum</t>
        </is>
      </c>
      <c r="B52" t="inlineStr">
        <is>
          <t>cash_1</t>
        </is>
      </c>
      <c r="C52" s="4">
        <f>0+$C$51</f>
        <v/>
      </c>
      <c r="D52" s="4" t="n">
        <v>48</v>
      </c>
    </row>
    <row r="53">
      <c r="A53" t="inlineStr">
        <is>
          <t>Y1 Term loan closing balance</t>
        </is>
      </c>
      <c r="B53" t="inlineStr">
        <is>
          <t>bal_1</t>
        </is>
      </c>
      <c r="C53" s="4">
        <f>$C$24</f>
        <v/>
      </c>
      <c r="D53" s="4" t="n">
        <v>400</v>
      </c>
      <c r="E53" t="inlineStr">
        <is>
          <t>tranches.Term loan.0.ending_balance</t>
        </is>
      </c>
      <c r="F53" t="inlineStr">
        <is>
          <t>money, to 0.01</t>
        </is>
      </c>
    </row>
    <row r="54">
      <c r="A54" t="inlineStr">
        <is>
          <t>Y2 interest expense</t>
        </is>
      </c>
      <c r="B54" t="inlineStr">
        <is>
          <t>int_2</t>
        </is>
      </c>
      <c r="C54" s="4">
        <f>$C$24*$C$46</f>
        <v/>
      </c>
      <c r="D54" s="4" t="n">
        <v>16</v>
      </c>
      <c r="E54" t="inlineStr">
        <is>
          <t>operating_model.interest_expense.1</t>
        </is>
      </c>
      <c r="F54" t="inlineStr">
        <is>
          <t>money, to 0.01</t>
        </is>
      </c>
    </row>
    <row r="55">
      <c r="A55" t="inlineStr">
        <is>
          <t>Y2 profit before tax = EBIT - interest + interest income</t>
        </is>
      </c>
      <c r="B55" t="inlineStr">
        <is>
          <t>ebt_2</t>
        </is>
      </c>
      <c r="C55" s="4">
        <f>$C$35-$C$54+0</f>
        <v/>
      </c>
      <c r="D55" s="4" t="n">
        <v>64</v>
      </c>
      <c r="E55" t="inlineStr">
        <is>
          <t>operating_model.ebt.1</t>
        </is>
      </c>
      <c r="F55" t="inlineStr">
        <is>
          <t>money, to 0.01</t>
        </is>
      </c>
    </row>
    <row r="56">
      <c r="A56" t="inlineStr">
        <is>
          <t>Y2 tax</t>
        </is>
      </c>
      <c r="B56" t="inlineStr">
        <is>
          <t>tax_2</t>
        </is>
      </c>
      <c r="C56" s="4">
        <f>MAX($C$55,0)*$C$13</f>
        <v/>
      </c>
      <c r="D56" s="4" t="n">
        <v>16</v>
      </c>
      <c r="E56" t="inlineStr">
        <is>
          <t>operating_model.taxes.1</t>
        </is>
      </c>
      <c r="F56" t="inlineStr">
        <is>
          <t>money, to 0.01</t>
        </is>
      </c>
    </row>
    <row r="57">
      <c r="A57" t="inlineStr">
        <is>
          <t>Y2 net income</t>
        </is>
      </c>
      <c r="B57" t="inlineStr">
        <is>
          <t>ni_2</t>
        </is>
      </c>
      <c r="C57" s="4">
        <f>$C$55-$C$56</f>
        <v/>
      </c>
      <c r="D57" s="4" t="n">
        <v>48</v>
      </c>
      <c r="E57" t="inlineStr">
        <is>
          <t>operating_model.net_income.1</t>
        </is>
      </c>
      <c r="F57" t="inlineStr">
        <is>
          <t>money, to 0.01</t>
        </is>
      </c>
    </row>
    <row r="58">
      <c r="A58" t="inlineStr">
        <is>
          <t>Y2 levered free cash flow (before repaying debt)</t>
        </is>
      </c>
      <c r="B58" t="inlineStr">
        <is>
          <t>fcf_2</t>
        </is>
      </c>
      <c r="C58" s="4">
        <f>$C$57+$C$36-$C$38-$C$39</f>
        <v/>
      </c>
      <c r="D58" s="4" t="n">
        <v>48</v>
      </c>
      <c r="E58" t="inlineStr">
        <is>
          <t>cash_flow.levered_fcf.1</t>
        </is>
      </c>
      <c r="F58" t="inlineStr">
        <is>
          <t>money, to 0.01</t>
        </is>
      </c>
    </row>
    <row r="59">
      <c r="A59" t="inlineStr">
        <is>
          <t>Y2 closing cash above the minimum</t>
        </is>
      </c>
      <c r="B59" t="inlineStr">
        <is>
          <t>cash_2</t>
        </is>
      </c>
      <c r="C59" s="4">
        <f>$C$52+$C$58</f>
        <v/>
      </c>
      <c r="D59" s="4" t="n">
        <v>96</v>
      </c>
    </row>
    <row r="60">
      <c r="A60" t="inlineStr">
        <is>
          <t>Y2 Term loan closing balance</t>
        </is>
      </c>
      <c r="B60" t="inlineStr">
        <is>
          <t>bal_2</t>
        </is>
      </c>
      <c r="C60" s="4">
        <f>$C$24</f>
        <v/>
      </c>
      <c r="D60" s="4" t="n">
        <v>400</v>
      </c>
      <c r="E60" t="inlineStr">
        <is>
          <t>tranches.Term loan.1.ending_balance</t>
        </is>
      </c>
      <c r="F60" t="inlineStr">
        <is>
          <t>money, to 0.01</t>
        </is>
      </c>
    </row>
    <row r="61">
      <c r="A61" t="inlineStr">
        <is>
          <t>Y3 interest expense</t>
        </is>
      </c>
      <c r="B61" t="inlineStr">
        <is>
          <t>int_3</t>
        </is>
      </c>
      <c r="C61" s="4">
        <f>$C$24*$C$46</f>
        <v/>
      </c>
      <c r="D61" s="4" t="n">
        <v>16</v>
      </c>
      <c r="E61" t="inlineStr">
        <is>
          <t>operating_model.interest_expense.2</t>
        </is>
      </c>
      <c r="F61" t="inlineStr">
        <is>
          <t>money, to 0.01</t>
        </is>
      </c>
    </row>
    <row r="62">
      <c r="A62" t="inlineStr">
        <is>
          <t>Y3 profit before tax = EBIT - interest + interest income</t>
        </is>
      </c>
      <c r="B62" t="inlineStr">
        <is>
          <t>ebt_3</t>
        </is>
      </c>
      <c r="C62" s="4">
        <f>$C$41-$C$61+0</f>
        <v/>
      </c>
      <c r="D62" s="4" t="n">
        <v>64</v>
      </c>
      <c r="E62" t="inlineStr">
        <is>
          <t>operating_model.ebt.2</t>
        </is>
      </c>
      <c r="F62" t="inlineStr">
        <is>
          <t>money, to 0.01</t>
        </is>
      </c>
    </row>
    <row r="63">
      <c r="A63" t="inlineStr">
        <is>
          <t>Y3 tax</t>
        </is>
      </c>
      <c r="B63" t="inlineStr">
        <is>
          <t>tax_3</t>
        </is>
      </c>
      <c r="C63" s="4">
        <f>MAX($C$62,0)*$C$13</f>
        <v/>
      </c>
      <c r="D63" s="4" t="n">
        <v>16</v>
      </c>
      <c r="E63" t="inlineStr">
        <is>
          <t>operating_model.taxes.2</t>
        </is>
      </c>
      <c r="F63" t="inlineStr">
        <is>
          <t>money, to 0.01</t>
        </is>
      </c>
    </row>
    <row r="64">
      <c r="A64" t="inlineStr">
        <is>
          <t>Y3 net income</t>
        </is>
      </c>
      <c r="B64" t="inlineStr">
        <is>
          <t>ni_3</t>
        </is>
      </c>
      <c r="C64" s="4">
        <f>$C$62-$C$63</f>
        <v/>
      </c>
      <c r="D64" s="4" t="n">
        <v>48</v>
      </c>
      <c r="E64" t="inlineStr">
        <is>
          <t>operating_model.net_income.2</t>
        </is>
      </c>
      <c r="F64" t="inlineStr">
        <is>
          <t>money, to 0.01</t>
        </is>
      </c>
    </row>
    <row r="65">
      <c r="A65" t="inlineStr">
        <is>
          <t>Y3 levered free cash flow (before repaying debt)</t>
        </is>
      </c>
      <c r="B65" t="inlineStr">
        <is>
          <t>fcf_3</t>
        </is>
      </c>
      <c r="C65" s="4">
        <f>$C$64+$C$42-$C$44-$C$45</f>
        <v/>
      </c>
      <c r="D65" s="4" t="n">
        <v>48</v>
      </c>
      <c r="E65" t="inlineStr">
        <is>
          <t>cash_flow.levered_fcf.2</t>
        </is>
      </c>
      <c r="F65" t="inlineStr">
        <is>
          <t>money, to 0.01</t>
        </is>
      </c>
    </row>
    <row r="66">
      <c r="A66" t="inlineStr">
        <is>
          <t>Y3 closing cash above the minimum</t>
        </is>
      </c>
      <c r="B66" t="inlineStr">
        <is>
          <t>cash_3</t>
        </is>
      </c>
      <c r="C66" s="4">
        <f>$C$59+$C$65</f>
        <v/>
      </c>
      <c r="D66" s="4" t="n">
        <v>144</v>
      </c>
    </row>
    <row r="67">
      <c r="A67" t="inlineStr">
        <is>
          <t>Y3 Term loan closing balance</t>
        </is>
      </c>
      <c r="B67" t="inlineStr">
        <is>
          <t>bal_3</t>
        </is>
      </c>
      <c r="C67" s="4">
        <f>$C$24</f>
        <v/>
      </c>
      <c r="D67" s="4" t="n">
        <v>400</v>
      </c>
      <c r="E67" t="inlineStr">
        <is>
          <t>tranches.Term loan.2.ending_balance</t>
        </is>
      </c>
      <c r="F67" t="inlineStr">
        <is>
          <t>money, to 0.01</t>
        </is>
      </c>
    </row>
    <row r="68">
      <c r="A68" t="inlineStr">
        <is>
          <t>Net debt at exit (debt - cash + lease liability)</t>
        </is>
      </c>
      <c r="B68" t="inlineStr">
        <is>
          <t>net_debt_exit</t>
        </is>
      </c>
      <c r="C68" s="4">
        <f>$C$67-$C$66</f>
        <v/>
      </c>
      <c r="D68" s="4" t="n">
        <v>256</v>
      </c>
      <c r="E68" t="inlineStr">
        <is>
          <t>returns.net_debt_at_exit</t>
        </is>
      </c>
      <c r="F68" t="inlineStr">
        <is>
          <t>money, to 0.01</t>
        </is>
      </c>
    </row>
    <row r="69">
      <c r="A69" t="inlineStr">
        <is>
          <t>Exit EV = (final-year EBITDA + lease add-back) x exit multiple</t>
        </is>
      </c>
      <c r="B69" t="inlineStr">
        <is>
          <t>exit_ev</t>
        </is>
      </c>
      <c r="C69" s="4">
        <f>($C$43+0)*$C$15</f>
        <v/>
      </c>
      <c r="D69" s="4" t="n">
        <v>800</v>
      </c>
      <c r="E69" t="inlineStr">
        <is>
          <t>returns.exit_ev</t>
        </is>
      </c>
      <c r="F69" t="inlineStr">
        <is>
          <t>money, to 0.01</t>
        </is>
      </c>
    </row>
    <row r="70">
      <c r="A70" t="inlineStr">
        <is>
          <t>Exit equity = exit EV - net debt</t>
        </is>
      </c>
      <c r="B70" t="inlineStr">
        <is>
          <t>exit_equity</t>
        </is>
      </c>
      <c r="C70" s="4">
        <f>$C$69-$C$68</f>
        <v/>
      </c>
      <c r="D70" s="4" t="n">
        <v>544</v>
      </c>
      <c r="E70" t="inlineStr">
        <is>
          <t>returns.net_exit_equity</t>
        </is>
      </c>
      <c r="F70" t="inlineStr">
        <is>
          <t>money, to 0.01</t>
        </is>
      </c>
    </row>
    <row r="71">
      <c r="A71" t="inlineStr">
        <is>
          <t>MOIC = exit equity / entry equity</t>
        </is>
      </c>
      <c r="B71" t="inlineStr">
        <is>
          <t>moic</t>
        </is>
      </c>
      <c r="C71" s="5">
        <f>$C$70/$C$26</f>
        <v/>
      </c>
      <c r="D71" s="5" t="n">
        <v>1.36</v>
      </c>
      <c r="E71" t="inlineStr">
        <is>
          <t>returns.moic</t>
        </is>
      </c>
      <c r="F71" t="inlineStr">
        <is>
          <t>multiple, to 0.01</t>
        </is>
      </c>
    </row>
    <row r="72">
      <c r="A72" t="inlineStr">
        <is>
          <t>IRR = MOIC ^ (1 / years) - 1</t>
        </is>
      </c>
      <c r="B72" t="inlineStr">
        <is>
          <t>irr</t>
        </is>
      </c>
      <c r="C72" s="6">
        <f>$C$71^(1/$C$16)-1</f>
        <v/>
      </c>
      <c r="D72" s="6" t="n">
        <v>0.1079316513508928</v>
      </c>
      <c r="E72" t="inlineStr">
        <is>
          <t>returns.irr</t>
        </is>
      </c>
      <c r="F72" t="inlineStr">
        <is>
          <t>per cent, to 0.01</t>
        </is>
      </c>
    </row>
    <row r="74">
      <c r="A74" s="3" t="inlineStr">
        <is>
          <t>Headline answers, typed by hand</t>
        </is>
      </c>
    </row>
    <row r="75">
      <c r="A75" t="inlineStr">
        <is>
          <t>Sponsor equity = EV + costs + minimum cash - debt - lease liability</t>
        </is>
      </c>
      <c r="B75" t="inlineStr">
        <is>
          <t>equity</t>
        </is>
      </c>
      <c r="D75" s="4" t="n">
        <v>400</v>
      </c>
    </row>
    <row r="76">
      <c r="A76" t="inlineStr">
        <is>
          <t>Exit equity = exit EV - net debt</t>
        </is>
      </c>
      <c r="B76" t="inlineStr">
        <is>
          <t>exit_equity</t>
        </is>
      </c>
      <c r="D76" s="4" t="n">
        <v>544</v>
      </c>
    </row>
  </sheetData>
  <mergeCells count="1">
    <mergeCell ref="A3:F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23. Growth with working capital in days</t>
        </is>
      </c>
    </row>
    <row r="2">
      <c r="A2" t="inlineStr">
        <is>
          <t>Covers: single tranche</t>
        </is>
      </c>
    </row>
    <row r="3" ht="90" customHeight="1">
      <c r="A3" s="2" t="inlineStr">
        <is>
          <t>Case 02 growing 10% a year, with working capital from 36.5 receivable days, 73 inventory and 36.5 payable days, at a 60% gross margin (opex 40%, so the same EBITDA). That is 14% of revenue (36.5 + 40% x 36.5, over 365), so each year ties up 14% of the revenue added: 5.6, 6.16, 6.776. Exit EBITDA 133.1.</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0.6</v>
      </c>
    </row>
    <row r="8">
      <c r="A8" t="inlineStr">
        <is>
          <t>opex</t>
        </is>
      </c>
      <c r="B8" t="inlineStr">
        <is>
          <t>opex</t>
        </is>
      </c>
      <c r="C8" t="n">
        <v>0.4</v>
      </c>
    </row>
    <row r="9">
      <c r="A9" t="inlineStr">
        <is>
          <t>da</t>
        </is>
      </c>
      <c r="B9" t="inlineStr">
        <is>
          <t>da</t>
        </is>
      </c>
      <c r="C9" t="n">
        <v>0.05</v>
      </c>
    </row>
    <row r="10">
      <c r="A10" t="inlineStr">
        <is>
          <t>g</t>
        </is>
      </c>
      <c r="B10" t="inlineStr">
        <is>
          <t>g</t>
        </is>
      </c>
      <c r="C10" t="n">
        <v>0.1</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ar</t>
        </is>
      </c>
      <c r="B18" t="inlineStr">
        <is>
          <t>ar</t>
        </is>
      </c>
      <c r="C18" t="n">
        <v>36.5</v>
      </c>
    </row>
    <row r="19">
      <c r="A19" t="inlineStr">
        <is>
          <t>inv</t>
        </is>
      </c>
      <c r="B19" t="inlineStr">
        <is>
          <t>inv</t>
        </is>
      </c>
      <c r="C19" t="n">
        <v>73</v>
      </c>
    </row>
    <row r="20">
      <c r="A20" t="inlineStr">
        <is>
          <t>ap</t>
        </is>
      </c>
      <c r="B20" t="inlineStr">
        <is>
          <t>ap</t>
        </is>
      </c>
      <c r="C20" t="n">
        <v>36.5</v>
      </c>
    </row>
    <row r="22">
      <c r="A22" s="3" t="inlineStr">
        <is>
          <t>Working</t>
        </is>
      </c>
      <c r="B22" s="3" t="inlineStr">
        <is>
          <t>Name</t>
        </is>
      </c>
      <c r="C22" s="3" t="inlineStr">
        <is>
          <t>Formula</t>
        </is>
      </c>
      <c r="D22" s="3" t="inlineStr">
        <is>
          <t>Comes to</t>
        </is>
      </c>
      <c r="E22" s="3" t="inlineStr">
        <is>
          <t>Engine figure it must match</t>
        </is>
      </c>
      <c r="F22" s="3" t="inlineStr">
        <is>
          <t>Compared as</t>
        </is>
      </c>
    </row>
    <row r="23">
      <c r="A23" t="inlineStr">
        <is>
          <t>Operating EBITDA (what the model grows)</t>
        </is>
      </c>
      <c r="B23" t="inlineStr">
        <is>
          <t>op_ebitda</t>
        </is>
      </c>
      <c r="C23" s="4">
        <f>$C$6</f>
        <v/>
      </c>
      <c r="D23" s="4" t="n">
        <v>100</v>
      </c>
    </row>
    <row r="24">
      <c r="A24" t="inlineStr">
        <is>
          <t>Entry EV = (EBITDA + lease add-back) x entry multiple</t>
        </is>
      </c>
      <c r="B24" t="inlineStr">
        <is>
          <t>ev</t>
        </is>
      </c>
      <c r="C24" s="4">
        <f>($C$23+0)*$C$14</f>
        <v/>
      </c>
      <c r="D24" s="4" t="n">
        <v>800</v>
      </c>
    </row>
    <row r="25">
      <c r="A25" t="inlineStr">
        <is>
          <t>Debt drawn at close</t>
        </is>
      </c>
      <c r="B25" t="inlineStr">
        <is>
          <t>debt</t>
        </is>
      </c>
      <c r="C25" s="4">
        <f>400</f>
        <v/>
      </c>
      <c r="D25" s="4" t="n">
        <v>400</v>
      </c>
    </row>
    <row r="26">
      <c r="A26" t="inlineStr">
        <is>
          <t>Entry costs (fees and other uses)</t>
        </is>
      </c>
      <c r="B26" t="inlineStr">
        <is>
          <t>costs</t>
        </is>
      </c>
      <c r="C26" s="4">
        <f>0</f>
        <v/>
      </c>
      <c r="D26" s="4" t="n">
        <v>0</v>
      </c>
    </row>
    <row r="27">
      <c r="A27" t="inlineStr">
        <is>
          <t>Sponsor equity = EV + costs + minimum cash - debt - lease liability</t>
        </is>
      </c>
      <c r="B27" t="inlineStr">
        <is>
          <t>equity</t>
        </is>
      </c>
      <c r="C27" s="4">
        <f>$C$24+$C$26+0-$C$25-0</f>
        <v/>
      </c>
      <c r="D27" s="4" t="n">
        <v>400</v>
      </c>
      <c r="E27" t="inlineStr">
        <is>
          <t>returns.entry_equity</t>
        </is>
      </c>
      <c r="F27" t="inlineStr">
        <is>
          <t>money, to 0.01</t>
        </is>
      </c>
    </row>
    <row r="28">
      <c r="A28" t="inlineStr">
        <is>
          <t>Working capital / revenue = (AR days + (1 - GM) x (inventory - AP days)) / 365</t>
        </is>
      </c>
      <c r="B28" t="inlineStr">
        <is>
          <t>k</t>
        </is>
      </c>
      <c r="C28" s="4">
        <f>($C$18+(1-$C$7)*($C$19-$C$20))/365</f>
        <v/>
      </c>
      <c r="D28" s="4" t="n">
        <v>0.14</v>
      </c>
    </row>
    <row r="29">
      <c r="A29" t="inlineStr">
        <is>
          <t>Change in working capital / revenue = k x g / (1 + g)</t>
        </is>
      </c>
      <c r="B29" t="inlineStr">
        <is>
          <t>nwc_share</t>
        </is>
      </c>
      <c r="C29" s="4">
        <f>$C$28*$C$10/(1+$C$10)</f>
        <v/>
      </c>
      <c r="D29" s="4" t="n">
        <v>0.01272727272727273</v>
      </c>
    </row>
    <row r="30">
      <c r="A30" t="inlineStr">
        <is>
          <t>Base revenue = EBITDA / (gross margin - opex + D&amp;A)</t>
        </is>
      </c>
      <c r="B30" t="inlineStr">
        <is>
          <t>rev_0</t>
        </is>
      </c>
      <c r="C30" s="4">
        <f>$C$6/($C$7-$C$8+$C$9)</f>
        <v/>
      </c>
      <c r="D30" s="4" t="n">
        <v>400.0000000000001</v>
      </c>
    </row>
    <row r="31">
      <c r="A31" t="inlineStr">
        <is>
          <t>Y1 revenue</t>
        </is>
      </c>
      <c r="B31" t="inlineStr">
        <is>
          <t>rev_1</t>
        </is>
      </c>
      <c r="C31" s="4">
        <f>$C$30*(1+$C$10)</f>
        <v/>
      </c>
      <c r="D31" s="4" t="n">
        <v>440.0000000000002</v>
      </c>
      <c r="E31" t="inlineStr">
        <is>
          <t>operating_model.revenue.0</t>
        </is>
      </c>
      <c r="F31" t="inlineStr">
        <is>
          <t>money, to 0.01</t>
        </is>
      </c>
    </row>
    <row r="32">
      <c r="A32" t="inlineStr">
        <is>
          <t>Y1 EBIT = revenue x (gross margin - opex)</t>
        </is>
      </c>
      <c r="B32" t="inlineStr">
        <is>
          <t>ebit_1</t>
        </is>
      </c>
      <c r="C32" s="4">
        <f>$C$31*($C$7-$C$8)</f>
        <v/>
      </c>
      <c r="D32" s="4" t="n">
        <v>88.00000000000001</v>
      </c>
      <c r="E32" t="inlineStr">
        <is>
          <t>operating_model.ebit.0</t>
        </is>
      </c>
      <c r="F32" t="inlineStr">
        <is>
          <t>money, to 0.01</t>
        </is>
      </c>
    </row>
    <row r="33">
      <c r="A33" t="inlineStr">
        <is>
          <t>Y1 D&amp;A</t>
        </is>
      </c>
      <c r="B33" t="inlineStr">
        <is>
          <t>da_1</t>
        </is>
      </c>
      <c r="C33" s="4">
        <f>$C$31*$C$9</f>
        <v/>
      </c>
      <c r="D33" s="4" t="n">
        <v>22.00000000000001</v>
      </c>
      <c r="E33" t="inlineStr">
        <is>
          <t>operating_model.da.0</t>
        </is>
      </c>
      <c r="F33" t="inlineStr">
        <is>
          <t>money, to 0.01</t>
        </is>
      </c>
    </row>
    <row r="34">
      <c r="A34" t="inlineStr">
        <is>
          <t>Y1 EBITDA</t>
        </is>
      </c>
      <c r="B34" t="inlineStr">
        <is>
          <t>ebitda_1</t>
        </is>
      </c>
      <c r="C34" s="4">
        <f>$C$32+$C$33</f>
        <v/>
      </c>
      <c r="D34" s="4" t="n">
        <v>110</v>
      </c>
      <c r="E34" t="inlineStr">
        <is>
          <t>operating_model.ebitda.0</t>
        </is>
      </c>
      <c r="F34" t="inlineStr">
        <is>
          <t>money, to 0.01</t>
        </is>
      </c>
    </row>
    <row r="35">
      <c r="A35" t="inlineStr">
        <is>
          <t>Y1 capex</t>
        </is>
      </c>
      <c r="B35" t="inlineStr">
        <is>
          <t>capex_1</t>
        </is>
      </c>
      <c r="C35" s="4">
        <f>$C$31*$C$11</f>
        <v/>
      </c>
      <c r="D35" s="4" t="n">
        <v>22.00000000000001</v>
      </c>
      <c r="E35" t="inlineStr">
        <is>
          <t>cash_flow.capex.0</t>
        </is>
      </c>
      <c r="F35" t="inlineStr">
        <is>
          <t>money, to 0.01</t>
        </is>
      </c>
    </row>
    <row r="36">
      <c r="A36" t="inlineStr">
        <is>
          <t>Y1 change in working capital</t>
        </is>
      </c>
      <c r="B36" t="inlineStr">
        <is>
          <t>dnwc_1</t>
        </is>
      </c>
      <c r="C36" s="4">
        <f>$C$31*$C$29</f>
        <v/>
      </c>
      <c r="D36" s="4" t="n">
        <v>5.600000000000002</v>
      </c>
      <c r="E36" t="inlineStr">
        <is>
          <t>cash_flow.delta_nwc.0</t>
        </is>
      </c>
      <c r="F36" t="inlineStr">
        <is>
          <t>money, to 0.01</t>
        </is>
      </c>
    </row>
    <row r="37">
      <c r="A37" t="inlineStr">
        <is>
          <t>Y2 revenue</t>
        </is>
      </c>
      <c r="B37" t="inlineStr">
        <is>
          <t>rev_2</t>
        </is>
      </c>
      <c r="C37" s="4">
        <f>$C$31*(1+$C$10)</f>
        <v/>
      </c>
      <c r="D37" s="4" t="n">
        <v>484.0000000000002</v>
      </c>
      <c r="E37" t="inlineStr">
        <is>
          <t>operating_model.revenue.1</t>
        </is>
      </c>
      <c r="F37" t="inlineStr">
        <is>
          <t>money, to 0.01</t>
        </is>
      </c>
    </row>
    <row r="38">
      <c r="A38" t="inlineStr">
        <is>
          <t>Y2 EBIT = revenue x (gross margin - opex)</t>
        </is>
      </c>
      <c r="B38" t="inlineStr">
        <is>
          <t>ebit_2</t>
        </is>
      </c>
      <c r="C38" s="4">
        <f>$C$37*($C$7-$C$8)</f>
        <v/>
      </c>
      <c r="D38" s="4" t="n">
        <v>96.80000000000003</v>
      </c>
      <c r="E38" t="inlineStr">
        <is>
          <t>operating_model.ebit.1</t>
        </is>
      </c>
      <c r="F38" t="inlineStr">
        <is>
          <t>money, to 0.01</t>
        </is>
      </c>
    </row>
    <row r="39">
      <c r="A39" t="inlineStr">
        <is>
          <t>Y2 D&amp;A</t>
        </is>
      </c>
      <c r="B39" t="inlineStr">
        <is>
          <t>da_2</t>
        </is>
      </c>
      <c r="C39" s="4">
        <f>$C$37*$C$9</f>
        <v/>
      </c>
      <c r="D39" s="4" t="n">
        <v>24.20000000000001</v>
      </c>
      <c r="E39" t="inlineStr">
        <is>
          <t>operating_model.da.1</t>
        </is>
      </c>
      <c r="F39" t="inlineStr">
        <is>
          <t>money, to 0.01</t>
        </is>
      </c>
    </row>
    <row r="40">
      <c r="A40" t="inlineStr">
        <is>
          <t>Y2 EBITDA</t>
        </is>
      </c>
      <c r="B40" t="inlineStr">
        <is>
          <t>ebitda_2</t>
        </is>
      </c>
      <c r="C40" s="4">
        <f>$C$38+$C$39</f>
        <v/>
      </c>
      <c r="D40" s="4" t="n">
        <v>121</v>
      </c>
      <c r="E40" t="inlineStr">
        <is>
          <t>operating_model.ebitda.1</t>
        </is>
      </c>
      <c r="F40" t="inlineStr">
        <is>
          <t>money, to 0.01</t>
        </is>
      </c>
    </row>
    <row r="41">
      <c r="A41" t="inlineStr">
        <is>
          <t>Y2 capex</t>
        </is>
      </c>
      <c r="B41" t="inlineStr">
        <is>
          <t>capex_2</t>
        </is>
      </c>
      <c r="C41" s="4">
        <f>$C$37*$C$11</f>
        <v/>
      </c>
      <c r="D41" s="4" t="n">
        <v>24.20000000000001</v>
      </c>
      <c r="E41" t="inlineStr">
        <is>
          <t>cash_flow.capex.1</t>
        </is>
      </c>
      <c r="F41" t="inlineStr">
        <is>
          <t>money, to 0.01</t>
        </is>
      </c>
    </row>
    <row r="42">
      <c r="A42" t="inlineStr">
        <is>
          <t>Y2 change in working capital</t>
        </is>
      </c>
      <c r="B42" t="inlineStr">
        <is>
          <t>dnwc_2</t>
        </is>
      </c>
      <c r="C42" s="4">
        <f>$C$37*$C$29</f>
        <v/>
      </c>
      <c r="D42" s="4" t="n">
        <v>6.160000000000003</v>
      </c>
      <c r="E42" t="inlineStr">
        <is>
          <t>cash_flow.delta_nwc.1</t>
        </is>
      </c>
      <c r="F42" t="inlineStr">
        <is>
          <t>money, to 0.01</t>
        </is>
      </c>
    </row>
    <row r="43">
      <c r="A43" t="inlineStr">
        <is>
          <t>Y3 revenue</t>
        </is>
      </c>
      <c r="B43" t="inlineStr">
        <is>
          <t>rev_3</t>
        </is>
      </c>
      <c r="C43" s="4">
        <f>$C$37*(1+$C$10)</f>
        <v/>
      </c>
      <c r="D43" s="4" t="n">
        <v>532.4000000000003</v>
      </c>
      <c r="E43" t="inlineStr">
        <is>
          <t>operating_model.revenue.2</t>
        </is>
      </c>
      <c r="F43" t="inlineStr">
        <is>
          <t>money, to 0.01</t>
        </is>
      </c>
    </row>
    <row r="44">
      <c r="A44" t="inlineStr">
        <is>
          <t>Y3 EBIT = revenue x (gross margin - opex)</t>
        </is>
      </c>
      <c r="B44" t="inlineStr">
        <is>
          <t>ebit_3</t>
        </is>
      </c>
      <c r="C44" s="4">
        <f>$C$43*($C$7-$C$8)</f>
        <v/>
      </c>
      <c r="D44" s="4" t="n">
        <v>106.48</v>
      </c>
      <c r="E44" t="inlineStr">
        <is>
          <t>operating_model.ebit.2</t>
        </is>
      </c>
      <c r="F44" t="inlineStr">
        <is>
          <t>money, to 0.01</t>
        </is>
      </c>
    </row>
    <row r="45">
      <c r="A45" t="inlineStr">
        <is>
          <t>Y3 D&amp;A</t>
        </is>
      </c>
      <c r="B45" t="inlineStr">
        <is>
          <t>da_3</t>
        </is>
      </c>
      <c r="C45" s="4">
        <f>$C$43*$C$9</f>
        <v/>
      </c>
      <c r="D45" s="4" t="n">
        <v>26.62000000000002</v>
      </c>
      <c r="E45" t="inlineStr">
        <is>
          <t>operating_model.da.2</t>
        </is>
      </c>
      <c r="F45" t="inlineStr">
        <is>
          <t>money, to 0.01</t>
        </is>
      </c>
    </row>
    <row r="46">
      <c r="A46" t="inlineStr">
        <is>
          <t>Y3 EBITDA</t>
        </is>
      </c>
      <c r="B46" t="inlineStr">
        <is>
          <t>ebitda_3</t>
        </is>
      </c>
      <c r="C46" s="4">
        <f>$C$44+$C$45</f>
        <v/>
      </c>
      <c r="D46" s="4" t="n">
        <v>133.1000000000001</v>
      </c>
      <c r="E46" t="inlineStr">
        <is>
          <t>operating_model.ebitda.2</t>
        </is>
      </c>
      <c r="F46" t="inlineStr">
        <is>
          <t>money, to 0.01</t>
        </is>
      </c>
    </row>
    <row r="47">
      <c r="A47" t="inlineStr">
        <is>
          <t>Y3 capex</t>
        </is>
      </c>
      <c r="B47" t="inlineStr">
        <is>
          <t>capex_3</t>
        </is>
      </c>
      <c r="C47" s="4">
        <f>$C$43*$C$11</f>
        <v/>
      </c>
      <c r="D47" s="4" t="n">
        <v>26.62000000000002</v>
      </c>
      <c r="E47" t="inlineStr">
        <is>
          <t>cash_flow.capex.2</t>
        </is>
      </c>
      <c r="F47" t="inlineStr">
        <is>
          <t>money, to 0.01</t>
        </is>
      </c>
    </row>
    <row r="48">
      <c r="A48" t="inlineStr">
        <is>
          <t>Y3 change in working capital</t>
        </is>
      </c>
      <c r="B48" t="inlineStr">
        <is>
          <t>dnwc_3</t>
        </is>
      </c>
      <c r="C48" s="4">
        <f>$C$43*$C$29</f>
        <v/>
      </c>
      <c r="D48" s="4" t="n">
        <v>6.776000000000004</v>
      </c>
      <c r="E48" t="inlineStr">
        <is>
          <t>cash_flow.delta_nwc.2</t>
        </is>
      </c>
      <c r="F48" t="inlineStr">
        <is>
          <t>money, to 0.01</t>
        </is>
      </c>
    </row>
    <row r="49">
      <c r="A49" t="inlineStr">
        <is>
          <t>Y1 interest expense</t>
        </is>
      </c>
      <c r="B49" t="inlineStr">
        <is>
          <t>int_1</t>
        </is>
      </c>
      <c r="C49" s="4">
        <f>$C$25*$C$17</f>
        <v/>
      </c>
      <c r="D49" s="4" t="n">
        <v>40</v>
      </c>
      <c r="E49" t="inlineStr">
        <is>
          <t>operating_model.interest_expense.0</t>
        </is>
      </c>
      <c r="F49" t="inlineStr">
        <is>
          <t>money, to 0.01</t>
        </is>
      </c>
    </row>
    <row r="50">
      <c r="A50" t="inlineStr">
        <is>
          <t>Y1 profit before tax = EBIT - interest + interest income</t>
        </is>
      </c>
      <c r="B50" t="inlineStr">
        <is>
          <t>ebt_1</t>
        </is>
      </c>
      <c r="C50" s="4">
        <f>$C$32-$C$49+0</f>
        <v/>
      </c>
      <c r="D50" s="4" t="n">
        <v>48.00000000000001</v>
      </c>
      <c r="E50" t="inlineStr">
        <is>
          <t>operating_model.ebt.0</t>
        </is>
      </c>
      <c r="F50" t="inlineStr">
        <is>
          <t>money, to 0.01</t>
        </is>
      </c>
    </row>
    <row r="51">
      <c r="A51" t="inlineStr">
        <is>
          <t>Y1 tax</t>
        </is>
      </c>
      <c r="B51" t="inlineStr">
        <is>
          <t>tax_1</t>
        </is>
      </c>
      <c r="C51" s="4">
        <f>MAX($C$50,0)*$C$13</f>
        <v/>
      </c>
      <c r="D51" s="4" t="n">
        <v>12</v>
      </c>
      <c r="E51" t="inlineStr">
        <is>
          <t>operating_model.taxes.0</t>
        </is>
      </c>
      <c r="F51" t="inlineStr">
        <is>
          <t>money, to 0.01</t>
        </is>
      </c>
    </row>
    <row r="52">
      <c r="A52" t="inlineStr">
        <is>
          <t>Y1 net income</t>
        </is>
      </c>
      <c r="B52" t="inlineStr">
        <is>
          <t>ni_1</t>
        </is>
      </c>
      <c r="C52" s="4">
        <f>$C$50-$C$51</f>
        <v/>
      </c>
      <c r="D52" s="4" t="n">
        <v>36.00000000000001</v>
      </c>
      <c r="E52" t="inlineStr">
        <is>
          <t>operating_model.net_income.0</t>
        </is>
      </c>
      <c r="F52" t="inlineStr">
        <is>
          <t>money, to 0.01</t>
        </is>
      </c>
    </row>
    <row r="53">
      <c r="A53" t="inlineStr">
        <is>
          <t>Y1 levered free cash flow (before repaying debt)</t>
        </is>
      </c>
      <c r="B53" t="inlineStr">
        <is>
          <t>fcf_1</t>
        </is>
      </c>
      <c r="C53" s="4">
        <f>$C$52+$C$33-$C$35-$C$36</f>
        <v/>
      </c>
      <c r="D53" s="4" t="n">
        <v>30.40000000000001</v>
      </c>
      <c r="E53" t="inlineStr">
        <is>
          <t>cash_flow.levered_fcf.0</t>
        </is>
      </c>
      <c r="F53" t="inlineStr">
        <is>
          <t>money, to 0.01</t>
        </is>
      </c>
    </row>
    <row r="54">
      <c r="A54" t="inlineStr">
        <is>
          <t>Y1 closing cash above the minimum</t>
        </is>
      </c>
      <c r="B54" t="inlineStr">
        <is>
          <t>cash_1</t>
        </is>
      </c>
      <c r="C54" s="4">
        <f>0+$C$53</f>
        <v/>
      </c>
      <c r="D54" s="4" t="n">
        <v>30.40000000000001</v>
      </c>
    </row>
    <row r="55">
      <c r="A55" t="inlineStr">
        <is>
          <t>Y1 Notes closing balance</t>
        </is>
      </c>
      <c r="B55" t="inlineStr">
        <is>
          <t>bal_1</t>
        </is>
      </c>
      <c r="C55" s="4">
        <f>$C$25</f>
        <v/>
      </c>
      <c r="D55" s="4" t="n">
        <v>400</v>
      </c>
      <c r="E55" t="inlineStr">
        <is>
          <t>tranches.Notes.0.ending_balance</t>
        </is>
      </c>
      <c r="F55" t="inlineStr">
        <is>
          <t>money, to 0.01</t>
        </is>
      </c>
    </row>
    <row r="56">
      <c r="A56" t="inlineStr">
        <is>
          <t>Y2 interest expense</t>
        </is>
      </c>
      <c r="B56" t="inlineStr">
        <is>
          <t>int_2</t>
        </is>
      </c>
      <c r="C56" s="4">
        <f>$C$25*$C$17</f>
        <v/>
      </c>
      <c r="D56" s="4" t="n">
        <v>40</v>
      </c>
      <c r="E56" t="inlineStr">
        <is>
          <t>operating_model.interest_expense.1</t>
        </is>
      </c>
      <c r="F56" t="inlineStr">
        <is>
          <t>money, to 0.01</t>
        </is>
      </c>
    </row>
    <row r="57">
      <c r="A57" t="inlineStr">
        <is>
          <t>Y2 profit before tax = EBIT - interest + interest income</t>
        </is>
      </c>
      <c r="B57" t="inlineStr">
        <is>
          <t>ebt_2</t>
        </is>
      </c>
      <c r="C57" s="4">
        <f>$C$38-$C$56+0</f>
        <v/>
      </c>
      <c r="D57" s="4" t="n">
        <v>56.80000000000003</v>
      </c>
      <c r="E57" t="inlineStr">
        <is>
          <t>operating_model.ebt.1</t>
        </is>
      </c>
      <c r="F57" t="inlineStr">
        <is>
          <t>money, to 0.01</t>
        </is>
      </c>
    </row>
    <row r="58">
      <c r="A58" t="inlineStr">
        <is>
          <t>Y2 tax</t>
        </is>
      </c>
      <c r="B58" t="inlineStr">
        <is>
          <t>tax_2</t>
        </is>
      </c>
      <c r="C58" s="4">
        <f>MAX($C$57,0)*$C$13</f>
        <v/>
      </c>
      <c r="D58" s="4" t="n">
        <v>14.20000000000001</v>
      </c>
      <c r="E58" t="inlineStr">
        <is>
          <t>operating_model.taxes.1</t>
        </is>
      </c>
      <c r="F58" t="inlineStr">
        <is>
          <t>money, to 0.01</t>
        </is>
      </c>
    </row>
    <row r="59">
      <c r="A59" t="inlineStr">
        <is>
          <t>Y2 net income</t>
        </is>
      </c>
      <c r="B59" t="inlineStr">
        <is>
          <t>ni_2</t>
        </is>
      </c>
      <c r="C59" s="4">
        <f>$C$57-$C$58</f>
        <v/>
      </c>
      <c r="D59" s="4" t="n">
        <v>42.60000000000002</v>
      </c>
      <c r="E59" t="inlineStr">
        <is>
          <t>operating_model.net_income.1</t>
        </is>
      </c>
      <c r="F59" t="inlineStr">
        <is>
          <t>money, to 0.01</t>
        </is>
      </c>
    </row>
    <row r="60">
      <c r="A60" t="inlineStr">
        <is>
          <t>Y2 levered free cash flow (before repaying debt)</t>
        </is>
      </c>
      <c r="B60" t="inlineStr">
        <is>
          <t>fcf_2</t>
        </is>
      </c>
      <c r="C60" s="4">
        <f>$C$59+$C$39-$C$41-$C$42</f>
        <v/>
      </c>
      <c r="D60" s="4" t="n">
        <v>36.44000000000002</v>
      </c>
      <c r="E60" t="inlineStr">
        <is>
          <t>cash_flow.levered_fcf.1</t>
        </is>
      </c>
      <c r="F60" t="inlineStr">
        <is>
          <t>money, to 0.01</t>
        </is>
      </c>
    </row>
    <row r="61">
      <c r="A61" t="inlineStr">
        <is>
          <t>Y2 closing cash above the minimum</t>
        </is>
      </c>
      <c r="B61" t="inlineStr">
        <is>
          <t>cash_2</t>
        </is>
      </c>
      <c r="C61" s="4">
        <f>$C$54+$C$60</f>
        <v/>
      </c>
      <c r="D61" s="4" t="n">
        <v>66.84000000000003</v>
      </c>
    </row>
    <row r="62">
      <c r="A62" t="inlineStr">
        <is>
          <t>Y2 Notes closing balance</t>
        </is>
      </c>
      <c r="B62" t="inlineStr">
        <is>
          <t>bal_2</t>
        </is>
      </c>
      <c r="C62" s="4">
        <f>$C$25</f>
        <v/>
      </c>
      <c r="D62" s="4" t="n">
        <v>400</v>
      </c>
      <c r="E62" t="inlineStr">
        <is>
          <t>tranches.Notes.1.ending_balance</t>
        </is>
      </c>
      <c r="F62" t="inlineStr">
        <is>
          <t>money, to 0.01</t>
        </is>
      </c>
    </row>
    <row r="63">
      <c r="A63" t="inlineStr">
        <is>
          <t>Y3 interest expense</t>
        </is>
      </c>
      <c r="B63" t="inlineStr">
        <is>
          <t>int_3</t>
        </is>
      </c>
      <c r="C63" s="4">
        <f>$C$25*$C$17</f>
        <v/>
      </c>
      <c r="D63" s="4" t="n">
        <v>40</v>
      </c>
      <c r="E63" t="inlineStr">
        <is>
          <t>operating_model.interest_expense.2</t>
        </is>
      </c>
      <c r="F63" t="inlineStr">
        <is>
          <t>money, to 0.01</t>
        </is>
      </c>
    </row>
    <row r="64">
      <c r="A64" t="inlineStr">
        <is>
          <t>Y3 profit before tax = EBIT - interest + interest income</t>
        </is>
      </c>
      <c r="B64" t="inlineStr">
        <is>
          <t>ebt_3</t>
        </is>
      </c>
      <c r="C64" s="4">
        <f>$C$44-$C$63+0</f>
        <v/>
      </c>
      <c r="D64" s="4" t="n">
        <v>66.48000000000005</v>
      </c>
      <c r="E64" t="inlineStr">
        <is>
          <t>operating_model.ebt.2</t>
        </is>
      </c>
      <c r="F64" t="inlineStr">
        <is>
          <t>money, to 0.01</t>
        </is>
      </c>
    </row>
    <row r="65">
      <c r="A65" t="inlineStr">
        <is>
          <t>Y3 tax</t>
        </is>
      </c>
      <c r="B65" t="inlineStr">
        <is>
          <t>tax_3</t>
        </is>
      </c>
      <c r="C65" s="4">
        <f>MAX($C$64,0)*$C$13</f>
        <v/>
      </c>
      <c r="D65" s="4" t="n">
        <v>16.62000000000001</v>
      </c>
      <c r="E65" t="inlineStr">
        <is>
          <t>operating_model.taxes.2</t>
        </is>
      </c>
      <c r="F65" t="inlineStr">
        <is>
          <t>money, to 0.01</t>
        </is>
      </c>
    </row>
    <row r="66">
      <c r="A66" t="inlineStr">
        <is>
          <t>Y3 net income</t>
        </is>
      </c>
      <c r="B66" t="inlineStr">
        <is>
          <t>ni_3</t>
        </is>
      </c>
      <c r="C66" s="4">
        <f>$C$64-$C$65</f>
        <v/>
      </c>
      <c r="D66" s="4" t="n">
        <v>49.86000000000003</v>
      </c>
      <c r="E66" t="inlineStr">
        <is>
          <t>operating_model.net_income.2</t>
        </is>
      </c>
      <c r="F66" t="inlineStr">
        <is>
          <t>money, to 0.01</t>
        </is>
      </c>
    </row>
    <row r="67">
      <c r="A67" t="inlineStr">
        <is>
          <t>Y3 levered free cash flow (before repaying debt)</t>
        </is>
      </c>
      <c r="B67" t="inlineStr">
        <is>
          <t>fcf_3</t>
        </is>
      </c>
      <c r="C67" s="4">
        <f>$C$66+$C$45-$C$47-$C$48</f>
        <v/>
      </c>
      <c r="D67" s="4" t="n">
        <v>43.08400000000002</v>
      </c>
      <c r="E67" t="inlineStr">
        <is>
          <t>cash_flow.levered_fcf.2</t>
        </is>
      </c>
      <c r="F67" t="inlineStr">
        <is>
          <t>money, to 0.01</t>
        </is>
      </c>
    </row>
    <row r="68">
      <c r="A68" t="inlineStr">
        <is>
          <t>Y3 closing cash above the minimum</t>
        </is>
      </c>
      <c r="B68" t="inlineStr">
        <is>
          <t>cash_3</t>
        </is>
      </c>
      <c r="C68" s="4">
        <f>$C$61+$C$67</f>
        <v/>
      </c>
      <c r="D68" s="4" t="n">
        <v>109.9240000000001</v>
      </c>
    </row>
    <row r="69">
      <c r="A69" t="inlineStr">
        <is>
          <t>Y3 Notes closing balance</t>
        </is>
      </c>
      <c r="B69" t="inlineStr">
        <is>
          <t>bal_3</t>
        </is>
      </c>
      <c r="C69" s="4">
        <f>$C$25</f>
        <v/>
      </c>
      <c r="D69" s="4" t="n">
        <v>400</v>
      </c>
      <c r="E69" t="inlineStr">
        <is>
          <t>tranches.Notes.2.ending_balance</t>
        </is>
      </c>
      <c r="F69" t="inlineStr">
        <is>
          <t>money, to 0.01</t>
        </is>
      </c>
    </row>
    <row r="70">
      <c r="A70" t="inlineStr">
        <is>
          <t>Net debt at exit (debt - cash + lease liability)</t>
        </is>
      </c>
      <c r="B70" t="inlineStr">
        <is>
          <t>net_debt_exit</t>
        </is>
      </c>
      <c r="C70" s="4">
        <f>$C$69-$C$68</f>
        <v/>
      </c>
      <c r="D70" s="4" t="n">
        <v>290.0759999999999</v>
      </c>
      <c r="E70" t="inlineStr">
        <is>
          <t>returns.net_debt_at_exit</t>
        </is>
      </c>
      <c r="F70" t="inlineStr">
        <is>
          <t>money, to 0.01</t>
        </is>
      </c>
    </row>
    <row r="71">
      <c r="A71" t="inlineStr">
        <is>
          <t>Exit EV = (final-year EBITDA + lease add-back) x exit multiple</t>
        </is>
      </c>
      <c r="B71" t="inlineStr">
        <is>
          <t>exit_ev</t>
        </is>
      </c>
      <c r="C71" s="4">
        <f>($C$46+0)*$C$15</f>
        <v/>
      </c>
      <c r="D71" s="4" t="n">
        <v>1064.800000000001</v>
      </c>
      <c r="E71" t="inlineStr">
        <is>
          <t>returns.exit_ev</t>
        </is>
      </c>
      <c r="F71" t="inlineStr">
        <is>
          <t>money, to 0.01</t>
        </is>
      </c>
    </row>
    <row r="72">
      <c r="A72" t="inlineStr">
        <is>
          <t>Exit equity = exit EV - net debt</t>
        </is>
      </c>
      <c r="B72" t="inlineStr">
        <is>
          <t>exit_equity</t>
        </is>
      </c>
      <c r="C72" s="4">
        <f>$C$71-$C$70</f>
        <v/>
      </c>
      <c r="D72" s="4" t="n">
        <v>774.7240000000007</v>
      </c>
      <c r="E72" t="inlineStr">
        <is>
          <t>returns.net_exit_equity</t>
        </is>
      </c>
      <c r="F72" t="inlineStr">
        <is>
          <t>money, to 0.01</t>
        </is>
      </c>
    </row>
    <row r="73">
      <c r="A73" t="inlineStr">
        <is>
          <t>MOIC = exit equity / entry equity</t>
        </is>
      </c>
      <c r="B73" t="inlineStr">
        <is>
          <t>moic</t>
        </is>
      </c>
      <c r="C73" s="5">
        <f>$C$72/$C$27</f>
        <v/>
      </c>
      <c r="D73" s="5" t="n">
        <v>1.936810000000002</v>
      </c>
      <c r="E73" t="inlineStr">
        <is>
          <t>returns.moic</t>
        </is>
      </c>
      <c r="F73" t="inlineStr">
        <is>
          <t>multiple, to 0.01</t>
        </is>
      </c>
    </row>
    <row r="74">
      <c r="A74" t="inlineStr">
        <is>
          <t>IRR = MOIC ^ (1 / years) - 1</t>
        </is>
      </c>
      <c r="B74" t="inlineStr">
        <is>
          <t>irr</t>
        </is>
      </c>
      <c r="C74" s="6">
        <f>$C$73^(1/$C$16)-1</f>
        <v/>
      </c>
      <c r="D74" s="6" t="n">
        <v>0.2465097301503627</v>
      </c>
      <c r="E74" t="inlineStr">
        <is>
          <t>returns.irr</t>
        </is>
      </c>
      <c r="F74" t="inlineStr">
        <is>
          <t>per cent, to 0.01</t>
        </is>
      </c>
    </row>
    <row r="76">
      <c r="A76" s="3" t="inlineStr">
        <is>
          <t>Headline answers, typed by hand</t>
        </is>
      </c>
    </row>
    <row r="77">
      <c r="A77" t="inlineStr">
        <is>
          <t>Sponsor equity = EV + costs + minimum cash - debt - lease liability</t>
        </is>
      </c>
      <c r="B77" t="inlineStr">
        <is>
          <t>equity</t>
        </is>
      </c>
      <c r="D77" s="4" t="n">
        <v>400</v>
      </c>
    </row>
    <row r="78">
      <c r="A78" t="inlineStr">
        <is>
          <t>Exit equity = exit EV - net debt</t>
        </is>
      </c>
      <c r="B78" t="inlineStr">
        <is>
          <t>exit_equity</t>
        </is>
      </c>
      <c r="D78" s="4" t="n">
        <v>774.724</v>
      </c>
    </row>
  </sheetData>
  <mergeCells count="1">
    <mergeCell ref="A3:F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24. Minimum cash funded at close</t>
        </is>
      </c>
    </row>
    <row r="2">
      <c r="A2" t="inlineStr">
        <is>
          <t>Covers: single tranche</t>
        </is>
      </c>
    </row>
    <row r="3" ht="90" customHeight="1">
      <c r="A3" s="2" t="inlineStr">
        <is>
          <t>Case 02 keeping 40 of cash in the business from day one. The sponsor funds it (cheque 440, finding 1), it earns the model's 0.5% (0.2 a year) and it is still there at exit, where it reduces net debt.</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t>
        </is>
      </c>
      <c r="B17" t="inlineStr">
        <is>
          <t>r</t>
        </is>
      </c>
      <c r="C17" t="n">
        <v>0.1</v>
      </c>
    </row>
    <row r="18">
      <c r="A18" t="inlineStr">
        <is>
          <t>mincash</t>
        </is>
      </c>
      <c r="B18" t="inlineStr">
        <is>
          <t>mincash</t>
        </is>
      </c>
      <c r="C18" t="n">
        <v>40</v>
      </c>
    </row>
    <row r="20">
      <c r="A20" s="3" t="inlineStr">
        <is>
          <t>Working</t>
        </is>
      </c>
      <c r="B20" s="3" t="inlineStr">
        <is>
          <t>Name</t>
        </is>
      </c>
      <c r="C20" s="3" t="inlineStr">
        <is>
          <t>Formula</t>
        </is>
      </c>
      <c r="D20" s="3" t="inlineStr">
        <is>
          <t>Comes to</t>
        </is>
      </c>
      <c r="E20" s="3" t="inlineStr">
        <is>
          <t>Engine figure it must match</t>
        </is>
      </c>
      <c r="F20" s="3" t="inlineStr">
        <is>
          <t>Compared as</t>
        </is>
      </c>
    </row>
    <row r="21">
      <c r="A21" t="inlineStr">
        <is>
          <t>Operating EBITDA (what the model grows)</t>
        </is>
      </c>
      <c r="B21" t="inlineStr">
        <is>
          <t>op_ebitda</t>
        </is>
      </c>
      <c r="C21" s="4">
        <f>$C$6</f>
        <v/>
      </c>
      <c r="D21" s="4" t="n">
        <v>100</v>
      </c>
    </row>
    <row r="22">
      <c r="A22" t="inlineStr">
        <is>
          <t>Entry EV = (EBITDA + lease add-back) x entry multiple</t>
        </is>
      </c>
      <c r="B22" t="inlineStr">
        <is>
          <t>ev</t>
        </is>
      </c>
      <c r="C22" s="4">
        <f>($C$21+0)*$C$14</f>
        <v/>
      </c>
      <c r="D22" s="4" t="n">
        <v>800</v>
      </c>
    </row>
    <row r="23">
      <c r="A23" t="inlineStr">
        <is>
          <t>Debt drawn at close</t>
        </is>
      </c>
      <c r="B23" t="inlineStr">
        <is>
          <t>debt</t>
        </is>
      </c>
      <c r="C23" s="4">
        <f>400</f>
        <v/>
      </c>
      <c r="D23" s="4" t="n">
        <v>400</v>
      </c>
    </row>
    <row r="24">
      <c r="A24" t="inlineStr">
        <is>
          <t>Entry costs (fees and other uses)</t>
        </is>
      </c>
      <c r="B24" t="inlineStr">
        <is>
          <t>costs</t>
        </is>
      </c>
      <c r="C24" s="4">
        <f>0</f>
        <v/>
      </c>
      <c r="D24" s="4" t="n">
        <v>0</v>
      </c>
    </row>
    <row r="25">
      <c r="A25" t="inlineStr">
        <is>
          <t>Sponsor equity = EV + costs + minimum cash - debt - lease liability</t>
        </is>
      </c>
      <c r="B25" t="inlineStr">
        <is>
          <t>equity</t>
        </is>
      </c>
      <c r="C25" s="4">
        <f>$C$22+$C$24+$C$18-$C$23-0</f>
        <v/>
      </c>
      <c r="D25" s="4" t="n">
        <v>440</v>
      </c>
      <c r="E25" t="inlineStr">
        <is>
          <t>returns.entry_equity</t>
        </is>
      </c>
      <c r="F25" t="inlineStr">
        <is>
          <t>money, to 0.01</t>
        </is>
      </c>
    </row>
    <row r="26">
      <c r="A26" t="inlineStr">
        <is>
          <t>Base revenue = EBITDA / (gross margin - opex + D&amp;A)</t>
        </is>
      </c>
      <c r="B26" t="inlineStr">
        <is>
          <t>rev_0</t>
        </is>
      </c>
      <c r="C26" s="4">
        <f>$C$6/($C$7-$C$8+$C$9)</f>
        <v/>
      </c>
      <c r="D26" s="4" t="n">
        <v>400</v>
      </c>
    </row>
    <row r="27">
      <c r="A27" t="inlineStr">
        <is>
          <t>Y1 revenue</t>
        </is>
      </c>
      <c r="B27" t="inlineStr">
        <is>
          <t>rev_1</t>
        </is>
      </c>
      <c r="C27" s="4">
        <f>$C$26*(1+$C$10)</f>
        <v/>
      </c>
      <c r="D27" s="4" t="n">
        <v>400</v>
      </c>
      <c r="E27" t="inlineStr">
        <is>
          <t>operating_model.revenue.0</t>
        </is>
      </c>
      <c r="F27" t="inlineStr">
        <is>
          <t>money, to 0.01</t>
        </is>
      </c>
    </row>
    <row r="28">
      <c r="A28" t="inlineStr">
        <is>
          <t>Y1 EBIT = revenue x (gross margin - opex)</t>
        </is>
      </c>
      <c r="B28" t="inlineStr">
        <is>
          <t>ebit_1</t>
        </is>
      </c>
      <c r="C28" s="4">
        <f>$C$27*($C$7-$C$8)</f>
        <v/>
      </c>
      <c r="D28" s="4" t="n">
        <v>80</v>
      </c>
      <c r="E28" t="inlineStr">
        <is>
          <t>operating_model.ebit.0</t>
        </is>
      </c>
      <c r="F28" t="inlineStr">
        <is>
          <t>money, to 0.01</t>
        </is>
      </c>
    </row>
    <row r="29">
      <c r="A29" t="inlineStr">
        <is>
          <t>Y1 D&amp;A</t>
        </is>
      </c>
      <c r="B29" t="inlineStr">
        <is>
          <t>da_1</t>
        </is>
      </c>
      <c r="C29" s="4">
        <f>$C$27*$C$9</f>
        <v/>
      </c>
      <c r="D29" s="4" t="n">
        <v>20</v>
      </c>
      <c r="E29" t="inlineStr">
        <is>
          <t>operating_model.da.0</t>
        </is>
      </c>
      <c r="F29" t="inlineStr">
        <is>
          <t>money, to 0.01</t>
        </is>
      </c>
    </row>
    <row r="30">
      <c r="A30" t="inlineStr">
        <is>
          <t>Y1 EBITDA</t>
        </is>
      </c>
      <c r="B30" t="inlineStr">
        <is>
          <t>ebitda_1</t>
        </is>
      </c>
      <c r="C30" s="4">
        <f>$C$28+$C$29</f>
        <v/>
      </c>
      <c r="D30" s="4" t="n">
        <v>100</v>
      </c>
      <c r="E30" t="inlineStr">
        <is>
          <t>operating_model.ebitda.0</t>
        </is>
      </c>
      <c r="F30" t="inlineStr">
        <is>
          <t>money, to 0.01</t>
        </is>
      </c>
    </row>
    <row r="31">
      <c r="A31" t="inlineStr">
        <is>
          <t>Y1 capex</t>
        </is>
      </c>
      <c r="B31" t="inlineStr">
        <is>
          <t>capex_1</t>
        </is>
      </c>
      <c r="C31" s="4">
        <f>$C$27*$C$11</f>
        <v/>
      </c>
      <c r="D31" s="4" t="n">
        <v>20</v>
      </c>
      <c r="E31" t="inlineStr">
        <is>
          <t>cash_flow.capex.0</t>
        </is>
      </c>
      <c r="F31" t="inlineStr">
        <is>
          <t>money, to 0.01</t>
        </is>
      </c>
    </row>
    <row r="32">
      <c r="A32" t="inlineStr">
        <is>
          <t>Y1 change in working capital</t>
        </is>
      </c>
      <c r="B32" t="inlineStr">
        <is>
          <t>dnwc_1</t>
        </is>
      </c>
      <c r="C32" s="4">
        <f>$C$27*$C$12</f>
        <v/>
      </c>
      <c r="D32" s="4" t="n">
        <v>0</v>
      </c>
      <c r="E32" t="inlineStr">
        <is>
          <t>cash_flow.delta_nwc.0</t>
        </is>
      </c>
      <c r="F32" t="inlineStr">
        <is>
          <t>money, to 0.01</t>
        </is>
      </c>
    </row>
    <row r="33">
      <c r="A33" t="inlineStr">
        <is>
          <t>Y2 revenue</t>
        </is>
      </c>
      <c r="B33" t="inlineStr">
        <is>
          <t>rev_2</t>
        </is>
      </c>
      <c r="C33" s="4">
        <f>$C$27*(1+$C$10)</f>
        <v/>
      </c>
      <c r="D33" s="4" t="n">
        <v>400</v>
      </c>
      <c r="E33" t="inlineStr">
        <is>
          <t>operating_model.revenue.1</t>
        </is>
      </c>
      <c r="F33" t="inlineStr">
        <is>
          <t>money, to 0.01</t>
        </is>
      </c>
    </row>
    <row r="34">
      <c r="A34" t="inlineStr">
        <is>
          <t>Y2 EBIT = revenue x (gross margin - opex)</t>
        </is>
      </c>
      <c r="B34" t="inlineStr">
        <is>
          <t>ebit_2</t>
        </is>
      </c>
      <c r="C34" s="4">
        <f>$C$33*($C$7-$C$8)</f>
        <v/>
      </c>
      <c r="D34" s="4" t="n">
        <v>80</v>
      </c>
      <c r="E34" t="inlineStr">
        <is>
          <t>operating_model.ebit.1</t>
        </is>
      </c>
      <c r="F34" t="inlineStr">
        <is>
          <t>money, to 0.01</t>
        </is>
      </c>
    </row>
    <row r="35">
      <c r="A35" t="inlineStr">
        <is>
          <t>Y2 D&amp;A</t>
        </is>
      </c>
      <c r="B35" t="inlineStr">
        <is>
          <t>da_2</t>
        </is>
      </c>
      <c r="C35" s="4">
        <f>$C$33*$C$9</f>
        <v/>
      </c>
      <c r="D35" s="4" t="n">
        <v>20</v>
      </c>
      <c r="E35" t="inlineStr">
        <is>
          <t>operating_model.da.1</t>
        </is>
      </c>
      <c r="F35" t="inlineStr">
        <is>
          <t>money, to 0.01</t>
        </is>
      </c>
    </row>
    <row r="36">
      <c r="A36" t="inlineStr">
        <is>
          <t>Y2 EBITDA</t>
        </is>
      </c>
      <c r="B36" t="inlineStr">
        <is>
          <t>ebitda_2</t>
        </is>
      </c>
      <c r="C36" s="4">
        <f>$C$34+$C$35</f>
        <v/>
      </c>
      <c r="D36" s="4" t="n">
        <v>100</v>
      </c>
      <c r="E36" t="inlineStr">
        <is>
          <t>operating_model.ebitda.1</t>
        </is>
      </c>
      <c r="F36" t="inlineStr">
        <is>
          <t>money, to 0.01</t>
        </is>
      </c>
    </row>
    <row r="37">
      <c r="A37" t="inlineStr">
        <is>
          <t>Y2 capex</t>
        </is>
      </c>
      <c r="B37" t="inlineStr">
        <is>
          <t>capex_2</t>
        </is>
      </c>
      <c r="C37" s="4">
        <f>$C$33*$C$11</f>
        <v/>
      </c>
      <c r="D37" s="4" t="n">
        <v>20</v>
      </c>
      <c r="E37" t="inlineStr">
        <is>
          <t>cash_flow.capex.1</t>
        </is>
      </c>
      <c r="F37" t="inlineStr">
        <is>
          <t>money, to 0.01</t>
        </is>
      </c>
    </row>
    <row r="38">
      <c r="A38" t="inlineStr">
        <is>
          <t>Y2 change in working capital</t>
        </is>
      </c>
      <c r="B38" t="inlineStr">
        <is>
          <t>dnwc_2</t>
        </is>
      </c>
      <c r="C38" s="4">
        <f>$C$33*$C$12</f>
        <v/>
      </c>
      <c r="D38" s="4" t="n">
        <v>0</v>
      </c>
      <c r="E38" t="inlineStr">
        <is>
          <t>cash_flow.delta_nwc.1</t>
        </is>
      </c>
      <c r="F38" t="inlineStr">
        <is>
          <t>money, to 0.01</t>
        </is>
      </c>
    </row>
    <row r="39">
      <c r="A39" t="inlineStr">
        <is>
          <t>Y3 revenue</t>
        </is>
      </c>
      <c r="B39" t="inlineStr">
        <is>
          <t>rev_3</t>
        </is>
      </c>
      <c r="C39" s="4">
        <f>$C$33*(1+$C$10)</f>
        <v/>
      </c>
      <c r="D39" s="4" t="n">
        <v>400</v>
      </c>
      <c r="E39" t="inlineStr">
        <is>
          <t>operating_model.revenue.2</t>
        </is>
      </c>
      <c r="F39" t="inlineStr">
        <is>
          <t>money, to 0.01</t>
        </is>
      </c>
    </row>
    <row r="40">
      <c r="A40" t="inlineStr">
        <is>
          <t>Y3 EBIT = revenue x (gross margin - opex)</t>
        </is>
      </c>
      <c r="B40" t="inlineStr">
        <is>
          <t>ebit_3</t>
        </is>
      </c>
      <c r="C40" s="4">
        <f>$C$39*($C$7-$C$8)</f>
        <v/>
      </c>
      <c r="D40" s="4" t="n">
        <v>80</v>
      </c>
      <c r="E40" t="inlineStr">
        <is>
          <t>operating_model.ebit.2</t>
        </is>
      </c>
      <c r="F40" t="inlineStr">
        <is>
          <t>money, to 0.01</t>
        </is>
      </c>
    </row>
    <row r="41">
      <c r="A41" t="inlineStr">
        <is>
          <t>Y3 D&amp;A</t>
        </is>
      </c>
      <c r="B41" t="inlineStr">
        <is>
          <t>da_3</t>
        </is>
      </c>
      <c r="C41" s="4">
        <f>$C$39*$C$9</f>
        <v/>
      </c>
      <c r="D41" s="4" t="n">
        <v>20</v>
      </c>
      <c r="E41" t="inlineStr">
        <is>
          <t>operating_model.da.2</t>
        </is>
      </c>
      <c r="F41" t="inlineStr">
        <is>
          <t>money, to 0.01</t>
        </is>
      </c>
    </row>
    <row r="42">
      <c r="A42" t="inlineStr">
        <is>
          <t>Y3 EBITDA</t>
        </is>
      </c>
      <c r="B42" t="inlineStr">
        <is>
          <t>ebitda_3</t>
        </is>
      </c>
      <c r="C42" s="4">
        <f>$C$40+$C$41</f>
        <v/>
      </c>
      <c r="D42" s="4" t="n">
        <v>100</v>
      </c>
      <c r="E42" t="inlineStr">
        <is>
          <t>operating_model.ebitda.2</t>
        </is>
      </c>
      <c r="F42" t="inlineStr">
        <is>
          <t>money, to 0.01</t>
        </is>
      </c>
    </row>
    <row r="43">
      <c r="A43" t="inlineStr">
        <is>
          <t>Y3 capex</t>
        </is>
      </c>
      <c r="B43" t="inlineStr">
        <is>
          <t>capex_3</t>
        </is>
      </c>
      <c r="C43" s="4">
        <f>$C$39*$C$11</f>
        <v/>
      </c>
      <c r="D43" s="4" t="n">
        <v>20</v>
      </c>
      <c r="E43" t="inlineStr">
        <is>
          <t>cash_flow.capex.2</t>
        </is>
      </c>
      <c r="F43" t="inlineStr">
        <is>
          <t>money, to 0.01</t>
        </is>
      </c>
    </row>
    <row r="44">
      <c r="A44" t="inlineStr">
        <is>
          <t>Y3 change in working capital</t>
        </is>
      </c>
      <c r="B44" t="inlineStr">
        <is>
          <t>dnwc_3</t>
        </is>
      </c>
      <c r="C44" s="4">
        <f>$C$39*$C$12</f>
        <v/>
      </c>
      <c r="D44" s="4" t="n">
        <v>0</v>
      </c>
      <c r="E44" t="inlineStr">
        <is>
          <t>cash_flow.delta_nwc.2</t>
        </is>
      </c>
      <c r="F44" t="inlineStr">
        <is>
          <t>money, to 0.01</t>
        </is>
      </c>
    </row>
    <row r="45">
      <c r="A45" t="inlineStr">
        <is>
          <t>Interest income = minimum cash x 0.5%</t>
        </is>
      </c>
      <c r="B45" t="inlineStr">
        <is>
          <t>inc</t>
        </is>
      </c>
      <c r="C45" s="4">
        <f>$C$18*0.005</f>
        <v/>
      </c>
      <c r="D45" s="4" t="n">
        <v>0.2</v>
      </c>
      <c r="E45" t="inlineStr">
        <is>
          <t>operating_model.interest_income.0</t>
        </is>
      </c>
      <c r="F45" t="inlineStr">
        <is>
          <t>money, to 0.01</t>
        </is>
      </c>
    </row>
    <row r="46">
      <c r="A46" t="inlineStr">
        <is>
          <t>Y1 interest expense</t>
        </is>
      </c>
      <c r="B46" t="inlineStr">
        <is>
          <t>int_1</t>
        </is>
      </c>
      <c r="C46" s="4">
        <f>$C$23*$C$17</f>
        <v/>
      </c>
      <c r="D46" s="4" t="n">
        <v>40</v>
      </c>
      <c r="E46" t="inlineStr">
        <is>
          <t>operating_model.interest_expense.0</t>
        </is>
      </c>
      <c r="F46" t="inlineStr">
        <is>
          <t>money, to 0.01</t>
        </is>
      </c>
    </row>
    <row r="47">
      <c r="A47" t="inlineStr">
        <is>
          <t>Y1 profit before tax = EBIT - interest + interest income</t>
        </is>
      </c>
      <c r="B47" t="inlineStr">
        <is>
          <t>ebt_1</t>
        </is>
      </c>
      <c r="C47" s="4">
        <f>$C$28-$C$46+$C$45</f>
        <v/>
      </c>
      <c r="D47" s="4" t="n">
        <v>40.2</v>
      </c>
      <c r="E47" t="inlineStr">
        <is>
          <t>operating_model.ebt.0</t>
        </is>
      </c>
      <c r="F47" t="inlineStr">
        <is>
          <t>money, to 0.01</t>
        </is>
      </c>
    </row>
    <row r="48">
      <c r="A48" t="inlineStr">
        <is>
          <t>Y1 tax</t>
        </is>
      </c>
      <c r="B48" t="inlineStr">
        <is>
          <t>tax_1</t>
        </is>
      </c>
      <c r="C48" s="4">
        <f>MAX($C$47,0)*$C$13</f>
        <v/>
      </c>
      <c r="D48" s="4" t="n">
        <v>10.05</v>
      </c>
      <c r="E48" t="inlineStr">
        <is>
          <t>operating_model.taxes.0</t>
        </is>
      </c>
      <c r="F48" t="inlineStr">
        <is>
          <t>money, to 0.01</t>
        </is>
      </c>
    </row>
    <row r="49">
      <c r="A49" t="inlineStr">
        <is>
          <t>Y1 net income</t>
        </is>
      </c>
      <c r="B49" t="inlineStr">
        <is>
          <t>ni_1</t>
        </is>
      </c>
      <c r="C49" s="4">
        <f>$C$47-$C$48</f>
        <v/>
      </c>
      <c r="D49" s="4" t="n">
        <v>30.15</v>
      </c>
      <c r="E49" t="inlineStr">
        <is>
          <t>operating_model.net_income.0</t>
        </is>
      </c>
      <c r="F49" t="inlineStr">
        <is>
          <t>money, to 0.01</t>
        </is>
      </c>
    </row>
    <row r="50">
      <c r="A50" t="inlineStr">
        <is>
          <t>Y1 levered free cash flow (before repaying debt)</t>
        </is>
      </c>
      <c r="B50" t="inlineStr">
        <is>
          <t>fcf_1</t>
        </is>
      </c>
      <c r="C50" s="4">
        <f>$C$49+$C$29-$C$31-$C$32</f>
        <v/>
      </c>
      <c r="D50" s="4" t="n">
        <v>30.15000000000001</v>
      </c>
      <c r="E50" t="inlineStr">
        <is>
          <t>cash_flow.levered_fcf.0</t>
        </is>
      </c>
      <c r="F50" t="inlineStr">
        <is>
          <t>money, to 0.01</t>
        </is>
      </c>
    </row>
    <row r="51">
      <c r="A51" t="inlineStr">
        <is>
          <t>Y1 closing cash above the minimum</t>
        </is>
      </c>
      <c r="B51" t="inlineStr">
        <is>
          <t>cash_1</t>
        </is>
      </c>
      <c r="C51" s="4">
        <f>0+$C$50</f>
        <v/>
      </c>
      <c r="D51" s="4" t="n">
        <v>30.15000000000001</v>
      </c>
    </row>
    <row r="52">
      <c r="A52" t="inlineStr">
        <is>
          <t>Y1 Notes closing balance</t>
        </is>
      </c>
      <c r="B52" t="inlineStr">
        <is>
          <t>bal_1</t>
        </is>
      </c>
      <c r="C52" s="4">
        <f>$C$23</f>
        <v/>
      </c>
      <c r="D52" s="4" t="n">
        <v>400</v>
      </c>
      <c r="E52" t="inlineStr">
        <is>
          <t>tranches.Notes.0.ending_balance</t>
        </is>
      </c>
      <c r="F52" t="inlineStr">
        <is>
          <t>money, to 0.01</t>
        </is>
      </c>
    </row>
    <row r="53">
      <c r="A53" t="inlineStr">
        <is>
          <t>Y2 interest expense</t>
        </is>
      </c>
      <c r="B53" t="inlineStr">
        <is>
          <t>int_2</t>
        </is>
      </c>
      <c r="C53" s="4">
        <f>$C$23*$C$17</f>
        <v/>
      </c>
      <c r="D53" s="4" t="n">
        <v>40</v>
      </c>
      <c r="E53" t="inlineStr">
        <is>
          <t>operating_model.interest_expense.1</t>
        </is>
      </c>
      <c r="F53" t="inlineStr">
        <is>
          <t>money, to 0.01</t>
        </is>
      </c>
    </row>
    <row r="54">
      <c r="A54" t="inlineStr">
        <is>
          <t>Y2 profit before tax = EBIT - interest + interest income</t>
        </is>
      </c>
      <c r="B54" t="inlineStr">
        <is>
          <t>ebt_2</t>
        </is>
      </c>
      <c r="C54" s="4">
        <f>$C$34-$C$53+$C$45</f>
        <v/>
      </c>
      <c r="D54" s="4" t="n">
        <v>40.2</v>
      </c>
      <c r="E54" t="inlineStr">
        <is>
          <t>operating_model.ebt.1</t>
        </is>
      </c>
      <c r="F54" t="inlineStr">
        <is>
          <t>money, to 0.01</t>
        </is>
      </c>
    </row>
    <row r="55">
      <c r="A55" t="inlineStr">
        <is>
          <t>Y2 tax</t>
        </is>
      </c>
      <c r="B55" t="inlineStr">
        <is>
          <t>tax_2</t>
        </is>
      </c>
      <c r="C55" s="4">
        <f>MAX($C$54,0)*$C$13</f>
        <v/>
      </c>
      <c r="D55" s="4" t="n">
        <v>10.05</v>
      </c>
      <c r="E55" t="inlineStr">
        <is>
          <t>operating_model.taxes.1</t>
        </is>
      </c>
      <c r="F55" t="inlineStr">
        <is>
          <t>money, to 0.01</t>
        </is>
      </c>
    </row>
    <row r="56">
      <c r="A56" t="inlineStr">
        <is>
          <t>Y2 net income</t>
        </is>
      </c>
      <c r="B56" t="inlineStr">
        <is>
          <t>ni_2</t>
        </is>
      </c>
      <c r="C56" s="4">
        <f>$C$54-$C$55</f>
        <v/>
      </c>
      <c r="D56" s="4" t="n">
        <v>30.15</v>
      </c>
      <c r="E56" t="inlineStr">
        <is>
          <t>operating_model.net_income.1</t>
        </is>
      </c>
      <c r="F56" t="inlineStr">
        <is>
          <t>money, to 0.01</t>
        </is>
      </c>
    </row>
    <row r="57">
      <c r="A57" t="inlineStr">
        <is>
          <t>Y2 levered free cash flow (before repaying debt)</t>
        </is>
      </c>
      <c r="B57" t="inlineStr">
        <is>
          <t>fcf_2</t>
        </is>
      </c>
      <c r="C57" s="4">
        <f>$C$56+$C$35-$C$37-$C$38</f>
        <v/>
      </c>
      <c r="D57" s="4" t="n">
        <v>30.15000000000001</v>
      </c>
      <c r="E57" t="inlineStr">
        <is>
          <t>cash_flow.levered_fcf.1</t>
        </is>
      </c>
      <c r="F57" t="inlineStr">
        <is>
          <t>money, to 0.01</t>
        </is>
      </c>
    </row>
    <row r="58">
      <c r="A58" t="inlineStr">
        <is>
          <t>Y2 closing cash above the minimum</t>
        </is>
      </c>
      <c r="B58" t="inlineStr">
        <is>
          <t>cash_2</t>
        </is>
      </c>
      <c r="C58" s="4">
        <f>$C$51+$C$57</f>
        <v/>
      </c>
      <c r="D58" s="4" t="n">
        <v>60.30000000000001</v>
      </c>
    </row>
    <row r="59">
      <c r="A59" t="inlineStr">
        <is>
          <t>Y2 Notes closing balance</t>
        </is>
      </c>
      <c r="B59" t="inlineStr">
        <is>
          <t>bal_2</t>
        </is>
      </c>
      <c r="C59" s="4">
        <f>$C$23</f>
        <v/>
      </c>
      <c r="D59" s="4" t="n">
        <v>400</v>
      </c>
      <c r="E59" t="inlineStr">
        <is>
          <t>tranches.Notes.1.ending_balance</t>
        </is>
      </c>
      <c r="F59" t="inlineStr">
        <is>
          <t>money, to 0.01</t>
        </is>
      </c>
    </row>
    <row r="60">
      <c r="A60" t="inlineStr">
        <is>
          <t>Y3 interest expense</t>
        </is>
      </c>
      <c r="B60" t="inlineStr">
        <is>
          <t>int_3</t>
        </is>
      </c>
      <c r="C60" s="4">
        <f>$C$23*$C$17</f>
        <v/>
      </c>
      <c r="D60" s="4" t="n">
        <v>40</v>
      </c>
      <c r="E60" t="inlineStr">
        <is>
          <t>operating_model.interest_expense.2</t>
        </is>
      </c>
      <c r="F60" t="inlineStr">
        <is>
          <t>money, to 0.01</t>
        </is>
      </c>
    </row>
    <row r="61">
      <c r="A61" t="inlineStr">
        <is>
          <t>Y3 profit before tax = EBIT - interest + interest income</t>
        </is>
      </c>
      <c r="B61" t="inlineStr">
        <is>
          <t>ebt_3</t>
        </is>
      </c>
      <c r="C61" s="4">
        <f>$C$40-$C$60+$C$45</f>
        <v/>
      </c>
      <c r="D61" s="4" t="n">
        <v>40.2</v>
      </c>
      <c r="E61" t="inlineStr">
        <is>
          <t>operating_model.ebt.2</t>
        </is>
      </c>
      <c r="F61" t="inlineStr">
        <is>
          <t>money, to 0.01</t>
        </is>
      </c>
    </row>
    <row r="62">
      <c r="A62" t="inlineStr">
        <is>
          <t>Y3 tax</t>
        </is>
      </c>
      <c r="B62" t="inlineStr">
        <is>
          <t>tax_3</t>
        </is>
      </c>
      <c r="C62" s="4">
        <f>MAX($C$61,0)*$C$13</f>
        <v/>
      </c>
      <c r="D62" s="4" t="n">
        <v>10.05</v>
      </c>
      <c r="E62" t="inlineStr">
        <is>
          <t>operating_model.taxes.2</t>
        </is>
      </c>
      <c r="F62" t="inlineStr">
        <is>
          <t>money, to 0.01</t>
        </is>
      </c>
    </row>
    <row r="63">
      <c r="A63" t="inlineStr">
        <is>
          <t>Y3 net income</t>
        </is>
      </c>
      <c r="B63" t="inlineStr">
        <is>
          <t>ni_3</t>
        </is>
      </c>
      <c r="C63" s="4">
        <f>$C$61-$C$62</f>
        <v/>
      </c>
      <c r="D63" s="4" t="n">
        <v>30.15</v>
      </c>
      <c r="E63" t="inlineStr">
        <is>
          <t>operating_model.net_income.2</t>
        </is>
      </c>
      <c r="F63" t="inlineStr">
        <is>
          <t>money, to 0.01</t>
        </is>
      </c>
    </row>
    <row r="64">
      <c r="A64" t="inlineStr">
        <is>
          <t>Y3 levered free cash flow (before repaying debt)</t>
        </is>
      </c>
      <c r="B64" t="inlineStr">
        <is>
          <t>fcf_3</t>
        </is>
      </c>
      <c r="C64" s="4">
        <f>$C$63+$C$41-$C$43-$C$44</f>
        <v/>
      </c>
      <c r="D64" s="4" t="n">
        <v>30.15000000000001</v>
      </c>
      <c r="E64" t="inlineStr">
        <is>
          <t>cash_flow.levered_fcf.2</t>
        </is>
      </c>
      <c r="F64" t="inlineStr">
        <is>
          <t>money, to 0.01</t>
        </is>
      </c>
    </row>
    <row r="65">
      <c r="A65" t="inlineStr">
        <is>
          <t>Y3 closing cash above the minimum</t>
        </is>
      </c>
      <c r="B65" t="inlineStr">
        <is>
          <t>cash_3</t>
        </is>
      </c>
      <c r="C65" s="4">
        <f>$C$58+$C$64</f>
        <v/>
      </c>
      <c r="D65" s="4" t="n">
        <v>90.45000000000002</v>
      </c>
    </row>
    <row r="66">
      <c r="A66" t="inlineStr">
        <is>
          <t>Y3 Notes closing balance</t>
        </is>
      </c>
      <c r="B66" t="inlineStr">
        <is>
          <t>bal_3</t>
        </is>
      </c>
      <c r="C66" s="4">
        <f>$C$23</f>
        <v/>
      </c>
      <c r="D66" s="4" t="n">
        <v>400</v>
      </c>
      <c r="E66" t="inlineStr">
        <is>
          <t>tranches.Notes.2.ending_balance</t>
        </is>
      </c>
      <c r="F66" t="inlineStr">
        <is>
          <t>money, to 0.01</t>
        </is>
      </c>
    </row>
    <row r="67">
      <c r="A67" t="inlineStr">
        <is>
          <t>Closing cash at exit = minimum + what built up</t>
        </is>
      </c>
      <c r="B67" t="inlineStr">
        <is>
          <t>cash_total</t>
        </is>
      </c>
      <c r="C67" s="4">
        <f>$C$18+$C$65</f>
        <v/>
      </c>
      <c r="D67" s="4" t="n">
        <v>130.45</v>
      </c>
      <c r="E67" t="inlineStr">
        <is>
          <t>debt_schedule.cash_balance.2</t>
        </is>
      </c>
      <c r="F67" t="inlineStr">
        <is>
          <t>money, to 0.01</t>
        </is>
      </c>
    </row>
    <row r="68">
      <c r="A68" t="inlineStr">
        <is>
          <t>Net debt at exit (debt - cash + lease liability)</t>
        </is>
      </c>
      <c r="B68" t="inlineStr">
        <is>
          <t>net_debt_exit</t>
        </is>
      </c>
      <c r="C68" s="4">
        <f>$C$66-$C$67</f>
        <v/>
      </c>
      <c r="D68" s="4" t="n">
        <v>269.55</v>
      </c>
      <c r="E68" t="inlineStr">
        <is>
          <t>returns.net_debt_at_exit</t>
        </is>
      </c>
      <c r="F68" t="inlineStr">
        <is>
          <t>money, to 0.01</t>
        </is>
      </c>
    </row>
    <row r="69">
      <c r="A69" t="inlineStr">
        <is>
          <t>Exit EV = (final-year EBITDA + lease add-back) x exit multiple</t>
        </is>
      </c>
      <c r="B69" t="inlineStr">
        <is>
          <t>exit_ev</t>
        </is>
      </c>
      <c r="C69" s="4">
        <f>($C$42+0)*$C$15</f>
        <v/>
      </c>
      <c r="D69" s="4" t="n">
        <v>800</v>
      </c>
      <c r="E69" t="inlineStr">
        <is>
          <t>returns.exit_ev</t>
        </is>
      </c>
      <c r="F69" t="inlineStr">
        <is>
          <t>money, to 0.01</t>
        </is>
      </c>
    </row>
    <row r="70">
      <c r="A70" t="inlineStr">
        <is>
          <t>Exit equity = exit EV - net debt</t>
        </is>
      </c>
      <c r="B70" t="inlineStr">
        <is>
          <t>exit_equity</t>
        </is>
      </c>
      <c r="C70" s="4">
        <f>$C$69-$C$68</f>
        <v/>
      </c>
      <c r="D70" s="4" t="n">
        <v>530.45</v>
      </c>
      <c r="E70" t="inlineStr">
        <is>
          <t>returns.net_exit_equity</t>
        </is>
      </c>
      <c r="F70" t="inlineStr">
        <is>
          <t>money, to 0.01</t>
        </is>
      </c>
    </row>
    <row r="71">
      <c r="A71" t="inlineStr">
        <is>
          <t>MOIC = exit equity / entry equity</t>
        </is>
      </c>
      <c r="B71" t="inlineStr">
        <is>
          <t>moic</t>
        </is>
      </c>
      <c r="C71" s="5">
        <f>$C$70/$C$25</f>
        <v/>
      </c>
      <c r="D71" s="5" t="n">
        <v>1.205568181818182</v>
      </c>
      <c r="E71" t="inlineStr">
        <is>
          <t>returns.moic</t>
        </is>
      </c>
      <c r="F71" t="inlineStr">
        <is>
          <t>multiple, to 0.01</t>
        </is>
      </c>
    </row>
    <row r="72">
      <c r="A72" t="inlineStr">
        <is>
          <t>IRR = MOIC ^ (1 / years) - 1</t>
        </is>
      </c>
      <c r="B72" t="inlineStr">
        <is>
          <t>irr</t>
        </is>
      </c>
      <c r="C72" s="6">
        <f>$C$71^(1/$C$16)-1</f>
        <v/>
      </c>
      <c r="D72" s="6" t="n">
        <v>0.06429966573832768</v>
      </c>
      <c r="E72" t="inlineStr">
        <is>
          <t>returns.irr</t>
        </is>
      </c>
      <c r="F72" t="inlineStr">
        <is>
          <t>per cent, to 0.01</t>
        </is>
      </c>
    </row>
    <row r="74">
      <c r="A74" s="3" t="inlineStr">
        <is>
          <t>Headline answers, typed by hand</t>
        </is>
      </c>
    </row>
    <row r="75">
      <c r="A75" t="inlineStr">
        <is>
          <t>Sponsor equity = EV + costs + minimum cash - debt - lease liability</t>
        </is>
      </c>
      <c r="B75" t="inlineStr">
        <is>
          <t>equity</t>
        </is>
      </c>
      <c r="D75" s="4" t="n">
        <v>440</v>
      </c>
    </row>
    <row r="76">
      <c r="A76" t="inlineStr">
        <is>
          <t>Exit equity = exit EV - net debt</t>
        </is>
      </c>
      <c r="B76" t="inlineStr">
        <is>
          <t>exit_equity</t>
        </is>
      </c>
      <c r="D76" s="4" t="n">
        <v>530.45</v>
      </c>
    </row>
  </sheetData>
  <mergeCells count="1">
    <mergeCell ref="A3:F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25. Held one year</t>
        </is>
      </c>
    </row>
    <row r="2">
      <c r="A2" t="inlineStr">
        <is>
          <t>Covers: single tranche</t>
        </is>
      </c>
    </row>
    <row r="3" ht="90" customHeight="1">
      <c r="A3" s="2" t="inlineStr">
        <is>
          <t>Case 02 sold after one year: 30 of cash, net debt 370, exit equity 430 for 400. With one year the IRR is simply MOIC - 1 = 7.5%.</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1</v>
      </c>
    </row>
    <row r="17">
      <c r="A17" t="inlineStr">
        <is>
          <t>r</t>
        </is>
      </c>
      <c r="B17" t="inlineStr">
        <is>
          <t>r</t>
        </is>
      </c>
      <c r="C17" t="n">
        <v>0.1</v>
      </c>
    </row>
    <row r="19">
      <c r="A19" s="3" t="inlineStr">
        <is>
          <t>Working</t>
        </is>
      </c>
      <c r="B19" s="3" t="inlineStr">
        <is>
          <t>Name</t>
        </is>
      </c>
      <c r="C19" s="3" t="inlineStr">
        <is>
          <t>Formula</t>
        </is>
      </c>
      <c r="D19" s="3" t="inlineStr">
        <is>
          <t>Comes to</t>
        </is>
      </c>
      <c r="E19" s="3" t="inlineStr">
        <is>
          <t>Engine figure it must match</t>
        </is>
      </c>
      <c r="F19" s="3" t="inlineStr">
        <is>
          <t>Compared as</t>
        </is>
      </c>
    </row>
    <row r="20">
      <c r="A20" t="inlineStr">
        <is>
          <t>Operating EBITDA (what the model grows)</t>
        </is>
      </c>
      <c r="B20" t="inlineStr">
        <is>
          <t>op_ebitda</t>
        </is>
      </c>
      <c r="C20" s="4">
        <f>$C$6</f>
        <v/>
      </c>
      <c r="D20" s="4" t="n">
        <v>100</v>
      </c>
    </row>
    <row r="21">
      <c r="A21" t="inlineStr">
        <is>
          <t>Entry EV = (EBITDA + lease add-back) x entry multiple</t>
        </is>
      </c>
      <c r="B21" t="inlineStr">
        <is>
          <t>ev</t>
        </is>
      </c>
      <c r="C21" s="4">
        <f>($C$20+0)*$C$14</f>
        <v/>
      </c>
      <c r="D21" s="4" t="n">
        <v>800</v>
      </c>
    </row>
    <row r="22">
      <c r="A22" t="inlineStr">
        <is>
          <t>Debt drawn at close</t>
        </is>
      </c>
      <c r="B22" t="inlineStr">
        <is>
          <t>debt</t>
        </is>
      </c>
      <c r="C22" s="4">
        <f>400</f>
        <v/>
      </c>
      <c r="D22" s="4" t="n">
        <v>400</v>
      </c>
    </row>
    <row r="23">
      <c r="A23" t="inlineStr">
        <is>
          <t>Entry costs (fees and other uses)</t>
        </is>
      </c>
      <c r="B23" t="inlineStr">
        <is>
          <t>costs</t>
        </is>
      </c>
      <c r="C23" s="4">
        <f>0</f>
        <v/>
      </c>
      <c r="D23" s="4" t="n">
        <v>0</v>
      </c>
    </row>
    <row r="24">
      <c r="A24" t="inlineStr">
        <is>
          <t>Sponsor equity = EV + costs + minimum cash - debt - lease liability</t>
        </is>
      </c>
      <c r="B24" t="inlineStr">
        <is>
          <t>equity</t>
        </is>
      </c>
      <c r="C24" s="4">
        <f>$C$21+$C$23+0-$C$22-0</f>
        <v/>
      </c>
      <c r="D24" s="4" t="n">
        <v>400</v>
      </c>
      <c r="E24" t="inlineStr">
        <is>
          <t>returns.entry_equity</t>
        </is>
      </c>
      <c r="F24" t="inlineStr">
        <is>
          <t>money, to 0.01</t>
        </is>
      </c>
    </row>
    <row r="25">
      <c r="A25" t="inlineStr">
        <is>
          <t>Base revenue = EBITDA / (gross margin - opex + D&amp;A)</t>
        </is>
      </c>
      <c r="B25" t="inlineStr">
        <is>
          <t>rev_0</t>
        </is>
      </c>
      <c r="C25" s="4">
        <f>$C$6/($C$7-$C$8+$C$9)</f>
        <v/>
      </c>
      <c r="D25" s="4" t="n">
        <v>400</v>
      </c>
    </row>
    <row r="26">
      <c r="A26" t="inlineStr">
        <is>
          <t>Y1 revenue</t>
        </is>
      </c>
      <c r="B26" t="inlineStr">
        <is>
          <t>rev_1</t>
        </is>
      </c>
      <c r="C26" s="4">
        <f>$C$25*(1+$C$10)</f>
        <v/>
      </c>
      <c r="D26" s="4" t="n">
        <v>400</v>
      </c>
      <c r="E26" t="inlineStr">
        <is>
          <t>operating_model.revenue.0</t>
        </is>
      </c>
      <c r="F26" t="inlineStr">
        <is>
          <t>money, to 0.01</t>
        </is>
      </c>
    </row>
    <row r="27">
      <c r="A27" t="inlineStr">
        <is>
          <t>Y1 EBIT = revenue x (gross margin - opex)</t>
        </is>
      </c>
      <c r="B27" t="inlineStr">
        <is>
          <t>ebit_1</t>
        </is>
      </c>
      <c r="C27" s="4">
        <f>$C$26*($C$7-$C$8)</f>
        <v/>
      </c>
      <c r="D27" s="4" t="n">
        <v>80</v>
      </c>
      <c r="E27" t="inlineStr">
        <is>
          <t>operating_model.ebit.0</t>
        </is>
      </c>
      <c r="F27" t="inlineStr">
        <is>
          <t>money, to 0.01</t>
        </is>
      </c>
    </row>
    <row r="28">
      <c r="A28" t="inlineStr">
        <is>
          <t>Y1 D&amp;A</t>
        </is>
      </c>
      <c r="B28" t="inlineStr">
        <is>
          <t>da_1</t>
        </is>
      </c>
      <c r="C28" s="4">
        <f>$C$26*$C$9</f>
        <v/>
      </c>
      <c r="D28" s="4" t="n">
        <v>20</v>
      </c>
      <c r="E28" t="inlineStr">
        <is>
          <t>operating_model.da.0</t>
        </is>
      </c>
      <c r="F28" t="inlineStr">
        <is>
          <t>money, to 0.01</t>
        </is>
      </c>
    </row>
    <row r="29">
      <c r="A29" t="inlineStr">
        <is>
          <t>Y1 EBITDA</t>
        </is>
      </c>
      <c r="B29" t="inlineStr">
        <is>
          <t>ebitda_1</t>
        </is>
      </c>
      <c r="C29" s="4">
        <f>$C$27+$C$28</f>
        <v/>
      </c>
      <c r="D29" s="4" t="n">
        <v>100</v>
      </c>
      <c r="E29" t="inlineStr">
        <is>
          <t>operating_model.ebitda.0</t>
        </is>
      </c>
      <c r="F29" t="inlineStr">
        <is>
          <t>money, to 0.01</t>
        </is>
      </c>
    </row>
    <row r="30">
      <c r="A30" t="inlineStr">
        <is>
          <t>Y1 capex</t>
        </is>
      </c>
      <c r="B30" t="inlineStr">
        <is>
          <t>capex_1</t>
        </is>
      </c>
      <c r="C30" s="4">
        <f>$C$26*$C$11</f>
        <v/>
      </c>
      <c r="D30" s="4" t="n">
        <v>20</v>
      </c>
      <c r="E30" t="inlineStr">
        <is>
          <t>cash_flow.capex.0</t>
        </is>
      </c>
      <c r="F30" t="inlineStr">
        <is>
          <t>money, to 0.01</t>
        </is>
      </c>
    </row>
    <row r="31">
      <c r="A31" t="inlineStr">
        <is>
          <t>Y1 change in working capital</t>
        </is>
      </c>
      <c r="B31" t="inlineStr">
        <is>
          <t>dnwc_1</t>
        </is>
      </c>
      <c r="C31" s="4">
        <f>$C$26*$C$12</f>
        <v/>
      </c>
      <c r="D31" s="4" t="n">
        <v>0</v>
      </c>
      <c r="E31" t="inlineStr">
        <is>
          <t>cash_flow.delta_nwc.0</t>
        </is>
      </c>
      <c r="F31" t="inlineStr">
        <is>
          <t>money, to 0.01</t>
        </is>
      </c>
    </row>
    <row r="32">
      <c r="A32" t="inlineStr">
        <is>
          <t>Y1 interest expense</t>
        </is>
      </c>
      <c r="B32" t="inlineStr">
        <is>
          <t>int_1</t>
        </is>
      </c>
      <c r="C32" s="4">
        <f>$C$22*$C$17</f>
        <v/>
      </c>
      <c r="D32" s="4" t="n">
        <v>40</v>
      </c>
      <c r="E32" t="inlineStr">
        <is>
          <t>operating_model.interest_expense.0</t>
        </is>
      </c>
      <c r="F32" t="inlineStr">
        <is>
          <t>money, to 0.01</t>
        </is>
      </c>
    </row>
    <row r="33">
      <c r="A33" t="inlineStr">
        <is>
          <t>Y1 profit before tax = EBIT - interest + interest income</t>
        </is>
      </c>
      <c r="B33" t="inlineStr">
        <is>
          <t>ebt_1</t>
        </is>
      </c>
      <c r="C33" s="4">
        <f>$C$27-$C$32+0</f>
        <v/>
      </c>
      <c r="D33" s="4" t="n">
        <v>40</v>
      </c>
      <c r="E33" t="inlineStr">
        <is>
          <t>operating_model.ebt.0</t>
        </is>
      </c>
      <c r="F33" t="inlineStr">
        <is>
          <t>money, to 0.01</t>
        </is>
      </c>
    </row>
    <row r="34">
      <c r="A34" t="inlineStr">
        <is>
          <t>Y1 tax</t>
        </is>
      </c>
      <c r="B34" t="inlineStr">
        <is>
          <t>tax_1</t>
        </is>
      </c>
      <c r="C34" s="4">
        <f>MAX($C$33,0)*$C$13</f>
        <v/>
      </c>
      <c r="D34" s="4" t="n">
        <v>10</v>
      </c>
      <c r="E34" t="inlineStr">
        <is>
          <t>operating_model.taxes.0</t>
        </is>
      </c>
      <c r="F34" t="inlineStr">
        <is>
          <t>money, to 0.01</t>
        </is>
      </c>
    </row>
    <row r="35">
      <c r="A35" t="inlineStr">
        <is>
          <t>Y1 net income</t>
        </is>
      </c>
      <c r="B35" t="inlineStr">
        <is>
          <t>ni_1</t>
        </is>
      </c>
      <c r="C35" s="4">
        <f>$C$33-$C$34</f>
        <v/>
      </c>
      <c r="D35" s="4" t="n">
        <v>30</v>
      </c>
      <c r="E35" t="inlineStr">
        <is>
          <t>operating_model.net_income.0</t>
        </is>
      </c>
      <c r="F35" t="inlineStr">
        <is>
          <t>money, to 0.01</t>
        </is>
      </c>
    </row>
    <row r="36">
      <c r="A36" t="inlineStr">
        <is>
          <t>Y1 levered free cash flow (before repaying debt)</t>
        </is>
      </c>
      <c r="B36" t="inlineStr">
        <is>
          <t>fcf_1</t>
        </is>
      </c>
      <c r="C36" s="4">
        <f>$C$35+$C$28-$C$30-$C$31</f>
        <v/>
      </c>
      <c r="D36" s="4" t="n">
        <v>30</v>
      </c>
      <c r="E36" t="inlineStr">
        <is>
          <t>cash_flow.levered_fcf.0</t>
        </is>
      </c>
      <c r="F36" t="inlineStr">
        <is>
          <t>money, to 0.01</t>
        </is>
      </c>
    </row>
    <row r="37">
      <c r="A37" t="inlineStr">
        <is>
          <t>Y1 closing cash above the minimum</t>
        </is>
      </c>
      <c r="B37" t="inlineStr">
        <is>
          <t>cash_1</t>
        </is>
      </c>
      <c r="C37" s="4">
        <f>0+$C$36</f>
        <v/>
      </c>
      <c r="D37" s="4" t="n">
        <v>30</v>
      </c>
    </row>
    <row r="38">
      <c r="A38" t="inlineStr">
        <is>
          <t>Y1 Notes closing balance</t>
        </is>
      </c>
      <c r="B38" t="inlineStr">
        <is>
          <t>bal_1</t>
        </is>
      </c>
      <c r="C38" s="4">
        <f>$C$22</f>
        <v/>
      </c>
      <c r="D38" s="4" t="n">
        <v>400</v>
      </c>
      <c r="E38" t="inlineStr">
        <is>
          <t>tranches.Notes.0.ending_balance</t>
        </is>
      </c>
      <c r="F38" t="inlineStr">
        <is>
          <t>money, to 0.01</t>
        </is>
      </c>
    </row>
    <row r="39">
      <c r="A39" t="inlineStr">
        <is>
          <t>Net debt at exit (debt - cash + lease liability)</t>
        </is>
      </c>
      <c r="B39" t="inlineStr">
        <is>
          <t>net_debt_exit</t>
        </is>
      </c>
      <c r="C39" s="4">
        <f>$C$38-$C$37</f>
        <v/>
      </c>
      <c r="D39" s="4" t="n">
        <v>370</v>
      </c>
      <c r="E39" t="inlineStr">
        <is>
          <t>returns.net_debt_at_exit</t>
        </is>
      </c>
      <c r="F39" t="inlineStr">
        <is>
          <t>money, to 0.01</t>
        </is>
      </c>
    </row>
    <row r="40">
      <c r="A40" t="inlineStr">
        <is>
          <t>Exit EV = (final-year EBITDA + lease add-back) x exit multiple</t>
        </is>
      </c>
      <c r="B40" t="inlineStr">
        <is>
          <t>exit_ev</t>
        </is>
      </c>
      <c r="C40" s="4">
        <f>($C$29+0)*$C$15</f>
        <v/>
      </c>
      <c r="D40" s="4" t="n">
        <v>800</v>
      </c>
      <c r="E40" t="inlineStr">
        <is>
          <t>returns.exit_ev</t>
        </is>
      </c>
      <c r="F40" t="inlineStr">
        <is>
          <t>money, to 0.01</t>
        </is>
      </c>
    </row>
    <row r="41">
      <c r="A41" t="inlineStr">
        <is>
          <t>Exit equity = exit EV - net debt</t>
        </is>
      </c>
      <c r="B41" t="inlineStr">
        <is>
          <t>exit_equity</t>
        </is>
      </c>
      <c r="C41" s="4">
        <f>$C$40-$C$39</f>
        <v/>
      </c>
      <c r="D41" s="4" t="n">
        <v>430</v>
      </c>
      <c r="E41" t="inlineStr">
        <is>
          <t>returns.net_exit_equity</t>
        </is>
      </c>
      <c r="F41" t="inlineStr">
        <is>
          <t>money, to 0.01</t>
        </is>
      </c>
    </row>
    <row r="42">
      <c r="A42" t="inlineStr">
        <is>
          <t>MOIC = exit equity / entry equity</t>
        </is>
      </c>
      <c r="B42" t="inlineStr">
        <is>
          <t>moic</t>
        </is>
      </c>
      <c r="C42" s="5">
        <f>$C$41/$C$24</f>
        <v/>
      </c>
      <c r="D42" s="5" t="n">
        <v>1.075</v>
      </c>
      <c r="E42" t="inlineStr">
        <is>
          <t>returns.moic</t>
        </is>
      </c>
      <c r="F42" t="inlineStr">
        <is>
          <t>multiple, to 0.01</t>
        </is>
      </c>
    </row>
    <row r="43">
      <c r="A43" t="inlineStr">
        <is>
          <t>IRR = MOIC ^ (1 / years) - 1</t>
        </is>
      </c>
      <c r="B43" t="inlineStr">
        <is>
          <t>irr</t>
        </is>
      </c>
      <c r="C43" s="6">
        <f>$C$42^(1/$C$16)-1</f>
        <v/>
      </c>
      <c r="D43" s="6" t="n">
        <v>0.07499999999999996</v>
      </c>
      <c r="E43" t="inlineStr">
        <is>
          <t>returns.irr</t>
        </is>
      </c>
      <c r="F43" t="inlineStr">
        <is>
          <t>per cent, to 0.01</t>
        </is>
      </c>
    </row>
    <row r="45">
      <c r="A45" s="3" t="inlineStr">
        <is>
          <t>Headline answers, typed by hand</t>
        </is>
      </c>
    </row>
    <row r="46">
      <c r="A46" t="inlineStr">
        <is>
          <t>Sponsor equity = EV + costs + minimum cash - debt - lease liability</t>
        </is>
      </c>
      <c r="B46" t="inlineStr">
        <is>
          <t>equity</t>
        </is>
      </c>
      <c r="D46" s="4" t="n">
        <v>400</v>
      </c>
    </row>
    <row r="47">
      <c r="A47" t="inlineStr">
        <is>
          <t>Exit equity = exit EV - net debt</t>
        </is>
      </c>
      <c r="B47" t="inlineStr">
        <is>
          <t>exit_equity</t>
        </is>
      </c>
      <c r="D47" s="4" t="n">
        <v>430</v>
      </c>
    </row>
  </sheetData>
  <mergeCells count="1">
    <mergeCell ref="A3:F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62" customWidth="1" min="1" max="1"/>
    <col width="16" customWidth="1" min="2" max="2"/>
    <col width="16" customWidth="1" min="3" max="3"/>
    <col width="16" customWidth="1" min="4" max="4"/>
    <col width="46" customWidth="1" min="5" max="5"/>
    <col width="18" customWidth="1" min="6" max="6"/>
  </cols>
  <sheetData>
    <row r="1">
      <c r="A1" s="1" t="inlineStr">
        <is>
          <t>26. Two facilities sharing the sweep</t>
        </is>
      </c>
    </row>
    <row r="2">
      <c r="A2" t="inlineStr">
        <is>
          <t>Covers: single tranche</t>
        </is>
      </c>
    </row>
    <row r="3" ht="90" customHeight="1">
      <c r="A3" s="2" t="inlineStr">
        <is>
          <t>Two 200 term loans, at 8% and 10%, each entitled to 50% of the cash available. The share is of the cash the business had, not of what the facility above left: year 1's 33 goes 16.5 and 16.5, not 16.5 and 8.25, and nothing is left over.</t>
        </is>
      </c>
    </row>
    <row r="5">
      <c r="A5" s="3" t="inlineStr">
        <is>
          <t>Inputs</t>
        </is>
      </c>
      <c r="B5" s="3" t="inlineStr">
        <is>
          <t>Name</t>
        </is>
      </c>
      <c r="C5" s="3" t="inlineStr">
        <is>
          <t>Value</t>
        </is>
      </c>
    </row>
    <row r="6">
      <c r="A6" t="inlineStr">
        <is>
          <t>ebitda</t>
        </is>
      </c>
      <c r="B6" t="inlineStr">
        <is>
          <t>ebitda</t>
        </is>
      </c>
      <c r="C6" t="n">
        <v>100</v>
      </c>
    </row>
    <row r="7">
      <c r="A7" t="inlineStr">
        <is>
          <t>gm</t>
        </is>
      </c>
      <c r="B7" t="inlineStr">
        <is>
          <t>gm</t>
        </is>
      </c>
      <c r="C7" t="n">
        <v>0.5</v>
      </c>
    </row>
    <row r="8">
      <c r="A8" t="inlineStr">
        <is>
          <t>opex</t>
        </is>
      </c>
      <c r="B8" t="inlineStr">
        <is>
          <t>opex</t>
        </is>
      </c>
      <c r="C8" t="n">
        <v>0.3</v>
      </c>
    </row>
    <row r="9">
      <c r="A9" t="inlineStr">
        <is>
          <t>da</t>
        </is>
      </c>
      <c r="B9" t="inlineStr">
        <is>
          <t>da</t>
        </is>
      </c>
      <c r="C9" t="n">
        <v>0.05</v>
      </c>
    </row>
    <row r="10">
      <c r="A10" t="inlineStr">
        <is>
          <t>g</t>
        </is>
      </c>
      <c r="B10" t="inlineStr">
        <is>
          <t>g</t>
        </is>
      </c>
      <c r="C10" t="n">
        <v>0</v>
      </c>
    </row>
    <row r="11">
      <c r="A11" t="inlineStr">
        <is>
          <t>capex</t>
        </is>
      </c>
      <c r="B11" t="inlineStr">
        <is>
          <t>capex</t>
        </is>
      </c>
      <c r="C11" t="n">
        <v>0.05</v>
      </c>
    </row>
    <row r="12">
      <c r="A12" t="inlineStr">
        <is>
          <t>nwc</t>
        </is>
      </c>
      <c r="B12" t="inlineStr">
        <is>
          <t>nwc</t>
        </is>
      </c>
      <c r="C12" t="n">
        <v>0</v>
      </c>
    </row>
    <row r="13">
      <c r="A13" t="inlineStr">
        <is>
          <t>tax</t>
        </is>
      </c>
      <c r="B13" t="inlineStr">
        <is>
          <t>tax</t>
        </is>
      </c>
      <c r="C13" t="n">
        <v>0.25</v>
      </c>
    </row>
    <row r="14">
      <c r="A14" t="inlineStr">
        <is>
          <t>entry_mult</t>
        </is>
      </c>
      <c r="B14" t="inlineStr">
        <is>
          <t>entry_mult</t>
        </is>
      </c>
      <c r="C14" t="n">
        <v>8</v>
      </c>
    </row>
    <row r="15">
      <c r="A15" t="inlineStr">
        <is>
          <t>exit_mult</t>
        </is>
      </c>
      <c r="B15" t="inlineStr">
        <is>
          <t>exit_mult</t>
        </is>
      </c>
      <c r="C15" t="n">
        <v>8</v>
      </c>
    </row>
    <row r="16">
      <c r="A16" t="inlineStr">
        <is>
          <t>hold</t>
        </is>
      </c>
      <c r="B16" t="inlineStr">
        <is>
          <t>hold</t>
        </is>
      </c>
      <c r="C16" t="n">
        <v>3</v>
      </c>
    </row>
    <row r="17">
      <c r="A17" t="inlineStr">
        <is>
          <t>ra</t>
        </is>
      </c>
      <c r="B17" t="inlineStr">
        <is>
          <t>ra</t>
        </is>
      </c>
      <c r="C17" t="n">
        <v>0.08</v>
      </c>
    </row>
    <row r="18">
      <c r="A18" t="inlineStr">
        <is>
          <t>rb</t>
        </is>
      </c>
      <c r="B18" t="inlineStr">
        <is>
          <t>rb</t>
        </is>
      </c>
      <c r="C18" t="n">
        <v>0.1</v>
      </c>
    </row>
    <row r="19">
      <c r="A19" t="inlineStr">
        <is>
          <t>share</t>
        </is>
      </c>
      <c r="B19" t="inlineStr">
        <is>
          <t>share</t>
        </is>
      </c>
      <c r="C19" t="n">
        <v>0.5</v>
      </c>
    </row>
    <row r="21">
      <c r="A21" s="3" t="inlineStr">
        <is>
          <t>Working</t>
        </is>
      </c>
      <c r="B21" s="3" t="inlineStr">
        <is>
          <t>Name</t>
        </is>
      </c>
      <c r="C21" s="3" t="inlineStr">
        <is>
          <t>Formula</t>
        </is>
      </c>
      <c r="D21" s="3" t="inlineStr">
        <is>
          <t>Comes to</t>
        </is>
      </c>
      <c r="E21" s="3" t="inlineStr">
        <is>
          <t>Engine figure it must match</t>
        </is>
      </c>
      <c r="F21" s="3" t="inlineStr">
        <is>
          <t>Compared as</t>
        </is>
      </c>
    </row>
    <row r="22">
      <c r="A22" t="inlineStr">
        <is>
          <t>Operating EBITDA (what the model grows)</t>
        </is>
      </c>
      <c r="B22" t="inlineStr">
        <is>
          <t>op_ebitda</t>
        </is>
      </c>
      <c r="C22" s="4">
        <f>$C$6</f>
        <v/>
      </c>
      <c r="D22" s="4" t="n">
        <v>100</v>
      </c>
    </row>
    <row r="23">
      <c r="A23" t="inlineStr">
        <is>
          <t>Term loan A at close</t>
        </is>
      </c>
      <c r="B23" t="inlineStr">
        <is>
          <t>a_0</t>
        </is>
      </c>
      <c r="C23" s="4">
        <f>200</f>
        <v/>
      </c>
      <c r="D23" s="4" t="n">
        <v>200</v>
      </c>
    </row>
    <row r="24">
      <c r="A24" t="inlineStr">
        <is>
          <t>Term loan B at close</t>
        </is>
      </c>
      <c r="B24" t="inlineStr">
        <is>
          <t>b_0</t>
        </is>
      </c>
      <c r="C24" s="4">
        <f>200</f>
        <v/>
      </c>
      <c r="D24" s="4" t="n">
        <v>200</v>
      </c>
    </row>
    <row r="25">
      <c r="A25" t="inlineStr">
        <is>
          <t>Entry EV = (EBITDA + lease add-back) x entry multiple</t>
        </is>
      </c>
      <c r="B25" t="inlineStr">
        <is>
          <t>ev</t>
        </is>
      </c>
      <c r="C25" s="4">
        <f>($C$22+0)*$C$14</f>
        <v/>
      </c>
      <c r="D25" s="4" t="n">
        <v>800</v>
      </c>
    </row>
    <row r="26">
      <c r="A26" t="inlineStr">
        <is>
          <t>Debt drawn at close</t>
        </is>
      </c>
      <c r="B26" t="inlineStr">
        <is>
          <t>debt</t>
        </is>
      </c>
      <c r="C26" s="4">
        <f>$C$23+$C$24</f>
        <v/>
      </c>
      <c r="D26" s="4" t="n">
        <v>400</v>
      </c>
    </row>
    <row r="27">
      <c r="A27" t="inlineStr">
        <is>
          <t>Entry costs (fees and other uses)</t>
        </is>
      </c>
      <c r="B27" t="inlineStr">
        <is>
          <t>costs</t>
        </is>
      </c>
      <c r="C27" s="4">
        <f>0</f>
        <v/>
      </c>
      <c r="D27" s="4" t="n">
        <v>0</v>
      </c>
    </row>
    <row r="28">
      <c r="A28" t="inlineStr">
        <is>
          <t>Sponsor equity = EV + costs + minimum cash - debt - lease liability</t>
        </is>
      </c>
      <c r="B28" t="inlineStr">
        <is>
          <t>equity</t>
        </is>
      </c>
      <c r="C28" s="4">
        <f>$C$25+$C$27+0-$C$26-0</f>
        <v/>
      </c>
      <c r="D28" s="4" t="n">
        <v>400</v>
      </c>
      <c r="E28" t="inlineStr">
        <is>
          <t>returns.entry_equity</t>
        </is>
      </c>
      <c r="F28" t="inlineStr">
        <is>
          <t>money, to 0.01</t>
        </is>
      </c>
    </row>
    <row r="29">
      <c r="A29" t="inlineStr">
        <is>
          <t>Base revenue = EBITDA / (gross margin - opex + D&amp;A)</t>
        </is>
      </c>
      <c r="B29" t="inlineStr">
        <is>
          <t>rev_0</t>
        </is>
      </c>
      <c r="C29" s="4">
        <f>$C$6/($C$7-$C$8+$C$9)</f>
        <v/>
      </c>
      <c r="D29" s="4" t="n">
        <v>400</v>
      </c>
    </row>
    <row r="30">
      <c r="A30" t="inlineStr">
        <is>
          <t>Y1 revenue</t>
        </is>
      </c>
      <c r="B30" t="inlineStr">
        <is>
          <t>rev_1</t>
        </is>
      </c>
      <c r="C30" s="4">
        <f>$C$29*(1+$C$10)</f>
        <v/>
      </c>
      <c r="D30" s="4" t="n">
        <v>400</v>
      </c>
      <c r="E30" t="inlineStr">
        <is>
          <t>operating_model.revenue.0</t>
        </is>
      </c>
      <c r="F30" t="inlineStr">
        <is>
          <t>money, to 0.01</t>
        </is>
      </c>
    </row>
    <row r="31">
      <c r="A31" t="inlineStr">
        <is>
          <t>Y1 EBIT = revenue x (gross margin - opex)</t>
        </is>
      </c>
      <c r="B31" t="inlineStr">
        <is>
          <t>ebit_1</t>
        </is>
      </c>
      <c r="C31" s="4">
        <f>$C$30*($C$7-$C$8)</f>
        <v/>
      </c>
      <c r="D31" s="4" t="n">
        <v>80</v>
      </c>
      <c r="E31" t="inlineStr">
        <is>
          <t>operating_model.ebit.0</t>
        </is>
      </c>
      <c r="F31" t="inlineStr">
        <is>
          <t>money, to 0.01</t>
        </is>
      </c>
    </row>
    <row r="32">
      <c r="A32" t="inlineStr">
        <is>
          <t>Y1 D&amp;A</t>
        </is>
      </c>
      <c r="B32" t="inlineStr">
        <is>
          <t>da_1</t>
        </is>
      </c>
      <c r="C32" s="4">
        <f>$C$30*$C$9</f>
        <v/>
      </c>
      <c r="D32" s="4" t="n">
        <v>20</v>
      </c>
      <c r="E32" t="inlineStr">
        <is>
          <t>operating_model.da.0</t>
        </is>
      </c>
      <c r="F32" t="inlineStr">
        <is>
          <t>money, to 0.01</t>
        </is>
      </c>
    </row>
    <row r="33">
      <c r="A33" t="inlineStr">
        <is>
          <t>Y1 EBITDA</t>
        </is>
      </c>
      <c r="B33" t="inlineStr">
        <is>
          <t>ebitda_1</t>
        </is>
      </c>
      <c r="C33" s="4">
        <f>$C$31+$C$32</f>
        <v/>
      </c>
      <c r="D33" s="4" t="n">
        <v>100</v>
      </c>
      <c r="E33" t="inlineStr">
        <is>
          <t>operating_model.ebitda.0</t>
        </is>
      </c>
      <c r="F33" t="inlineStr">
        <is>
          <t>money, to 0.01</t>
        </is>
      </c>
    </row>
    <row r="34">
      <c r="A34" t="inlineStr">
        <is>
          <t>Y1 capex</t>
        </is>
      </c>
      <c r="B34" t="inlineStr">
        <is>
          <t>capex_1</t>
        </is>
      </c>
      <c r="C34" s="4">
        <f>$C$30*$C$11</f>
        <v/>
      </c>
      <c r="D34" s="4" t="n">
        <v>20</v>
      </c>
      <c r="E34" t="inlineStr">
        <is>
          <t>cash_flow.capex.0</t>
        </is>
      </c>
      <c r="F34" t="inlineStr">
        <is>
          <t>money, to 0.01</t>
        </is>
      </c>
    </row>
    <row r="35">
      <c r="A35" t="inlineStr">
        <is>
          <t>Y1 change in working capital</t>
        </is>
      </c>
      <c r="B35" t="inlineStr">
        <is>
          <t>dnwc_1</t>
        </is>
      </c>
      <c r="C35" s="4">
        <f>$C$30*$C$12</f>
        <v/>
      </c>
      <c r="D35" s="4" t="n">
        <v>0</v>
      </c>
      <c r="E35" t="inlineStr">
        <is>
          <t>cash_flow.delta_nwc.0</t>
        </is>
      </c>
      <c r="F35" t="inlineStr">
        <is>
          <t>money, to 0.01</t>
        </is>
      </c>
    </row>
    <row r="36">
      <c r="A36" t="inlineStr">
        <is>
          <t>Y2 revenue</t>
        </is>
      </c>
      <c r="B36" t="inlineStr">
        <is>
          <t>rev_2</t>
        </is>
      </c>
      <c r="C36" s="4">
        <f>$C$30*(1+$C$10)</f>
        <v/>
      </c>
      <c r="D36" s="4" t="n">
        <v>400</v>
      </c>
      <c r="E36" t="inlineStr">
        <is>
          <t>operating_model.revenue.1</t>
        </is>
      </c>
      <c r="F36" t="inlineStr">
        <is>
          <t>money, to 0.01</t>
        </is>
      </c>
    </row>
    <row r="37">
      <c r="A37" t="inlineStr">
        <is>
          <t>Y2 EBIT = revenue x (gross margin - opex)</t>
        </is>
      </c>
      <c r="B37" t="inlineStr">
        <is>
          <t>ebit_2</t>
        </is>
      </c>
      <c r="C37" s="4">
        <f>$C$36*($C$7-$C$8)</f>
        <v/>
      </c>
      <c r="D37" s="4" t="n">
        <v>80</v>
      </c>
      <c r="E37" t="inlineStr">
        <is>
          <t>operating_model.ebit.1</t>
        </is>
      </c>
      <c r="F37" t="inlineStr">
        <is>
          <t>money, to 0.01</t>
        </is>
      </c>
    </row>
    <row r="38">
      <c r="A38" t="inlineStr">
        <is>
          <t>Y2 D&amp;A</t>
        </is>
      </c>
      <c r="B38" t="inlineStr">
        <is>
          <t>da_2</t>
        </is>
      </c>
      <c r="C38" s="4">
        <f>$C$36*$C$9</f>
        <v/>
      </c>
      <c r="D38" s="4" t="n">
        <v>20</v>
      </c>
      <c r="E38" t="inlineStr">
        <is>
          <t>operating_model.da.1</t>
        </is>
      </c>
      <c r="F38" t="inlineStr">
        <is>
          <t>money, to 0.01</t>
        </is>
      </c>
    </row>
    <row r="39">
      <c r="A39" t="inlineStr">
        <is>
          <t>Y2 EBITDA</t>
        </is>
      </c>
      <c r="B39" t="inlineStr">
        <is>
          <t>ebitda_2</t>
        </is>
      </c>
      <c r="C39" s="4">
        <f>$C$37+$C$38</f>
        <v/>
      </c>
      <c r="D39" s="4" t="n">
        <v>100</v>
      </c>
      <c r="E39" t="inlineStr">
        <is>
          <t>operating_model.ebitda.1</t>
        </is>
      </c>
      <c r="F39" t="inlineStr">
        <is>
          <t>money, to 0.01</t>
        </is>
      </c>
    </row>
    <row r="40">
      <c r="A40" t="inlineStr">
        <is>
          <t>Y2 capex</t>
        </is>
      </c>
      <c r="B40" t="inlineStr">
        <is>
          <t>capex_2</t>
        </is>
      </c>
      <c r="C40" s="4">
        <f>$C$36*$C$11</f>
        <v/>
      </c>
      <c r="D40" s="4" t="n">
        <v>20</v>
      </c>
      <c r="E40" t="inlineStr">
        <is>
          <t>cash_flow.capex.1</t>
        </is>
      </c>
      <c r="F40" t="inlineStr">
        <is>
          <t>money, to 0.01</t>
        </is>
      </c>
    </row>
    <row r="41">
      <c r="A41" t="inlineStr">
        <is>
          <t>Y2 change in working capital</t>
        </is>
      </c>
      <c r="B41" t="inlineStr">
        <is>
          <t>dnwc_2</t>
        </is>
      </c>
      <c r="C41" s="4">
        <f>$C$36*$C$12</f>
        <v/>
      </c>
      <c r="D41" s="4" t="n">
        <v>0</v>
      </c>
      <c r="E41" t="inlineStr">
        <is>
          <t>cash_flow.delta_nwc.1</t>
        </is>
      </c>
      <c r="F41" t="inlineStr">
        <is>
          <t>money, to 0.01</t>
        </is>
      </c>
    </row>
    <row r="42">
      <c r="A42" t="inlineStr">
        <is>
          <t>Y3 revenue</t>
        </is>
      </c>
      <c r="B42" t="inlineStr">
        <is>
          <t>rev_3</t>
        </is>
      </c>
      <c r="C42" s="4">
        <f>$C$36*(1+$C$10)</f>
        <v/>
      </c>
      <c r="D42" s="4" t="n">
        <v>400</v>
      </c>
      <c r="E42" t="inlineStr">
        <is>
          <t>operating_model.revenue.2</t>
        </is>
      </c>
      <c r="F42" t="inlineStr">
        <is>
          <t>money, to 0.01</t>
        </is>
      </c>
    </row>
    <row r="43">
      <c r="A43" t="inlineStr">
        <is>
          <t>Y3 EBIT = revenue x (gross margin - opex)</t>
        </is>
      </c>
      <c r="B43" t="inlineStr">
        <is>
          <t>ebit_3</t>
        </is>
      </c>
      <c r="C43" s="4">
        <f>$C$42*($C$7-$C$8)</f>
        <v/>
      </c>
      <c r="D43" s="4" t="n">
        <v>80</v>
      </c>
      <c r="E43" t="inlineStr">
        <is>
          <t>operating_model.ebit.2</t>
        </is>
      </c>
      <c r="F43" t="inlineStr">
        <is>
          <t>money, to 0.01</t>
        </is>
      </c>
    </row>
    <row r="44">
      <c r="A44" t="inlineStr">
        <is>
          <t>Y3 D&amp;A</t>
        </is>
      </c>
      <c r="B44" t="inlineStr">
        <is>
          <t>da_3</t>
        </is>
      </c>
      <c r="C44" s="4">
        <f>$C$42*$C$9</f>
        <v/>
      </c>
      <c r="D44" s="4" t="n">
        <v>20</v>
      </c>
      <c r="E44" t="inlineStr">
        <is>
          <t>operating_model.da.2</t>
        </is>
      </c>
      <c r="F44" t="inlineStr">
        <is>
          <t>money, to 0.01</t>
        </is>
      </c>
    </row>
    <row r="45">
      <c r="A45" t="inlineStr">
        <is>
          <t>Y3 EBITDA</t>
        </is>
      </c>
      <c r="B45" t="inlineStr">
        <is>
          <t>ebitda_3</t>
        </is>
      </c>
      <c r="C45" s="4">
        <f>$C$43+$C$44</f>
        <v/>
      </c>
      <c r="D45" s="4" t="n">
        <v>100</v>
      </c>
      <c r="E45" t="inlineStr">
        <is>
          <t>operating_model.ebitda.2</t>
        </is>
      </c>
      <c r="F45" t="inlineStr">
        <is>
          <t>money, to 0.01</t>
        </is>
      </c>
    </row>
    <row r="46">
      <c r="A46" t="inlineStr">
        <is>
          <t>Y3 capex</t>
        </is>
      </c>
      <c r="B46" t="inlineStr">
        <is>
          <t>capex_3</t>
        </is>
      </c>
      <c r="C46" s="4">
        <f>$C$42*$C$11</f>
        <v/>
      </c>
      <c r="D46" s="4" t="n">
        <v>20</v>
      </c>
      <c r="E46" t="inlineStr">
        <is>
          <t>cash_flow.capex.2</t>
        </is>
      </c>
      <c r="F46" t="inlineStr">
        <is>
          <t>money, to 0.01</t>
        </is>
      </c>
    </row>
    <row r="47">
      <c r="A47" t="inlineStr">
        <is>
          <t>Y3 change in working capital</t>
        </is>
      </c>
      <c r="B47" t="inlineStr">
        <is>
          <t>dnwc_3</t>
        </is>
      </c>
      <c r="C47" s="4">
        <f>$C$42*$C$12</f>
        <v/>
      </c>
      <c r="D47" s="4" t="n">
        <v>0</v>
      </c>
      <c r="E47" t="inlineStr">
        <is>
          <t>cash_flow.delta_nwc.2</t>
        </is>
      </c>
      <c r="F47" t="inlineStr">
        <is>
          <t>money, to 0.01</t>
        </is>
      </c>
    </row>
    <row r="48">
      <c r="A48" t="inlineStr">
        <is>
          <t>Y1 interest expense</t>
        </is>
      </c>
      <c r="B48" t="inlineStr">
        <is>
          <t>int_1</t>
        </is>
      </c>
      <c r="C48" s="4">
        <f>$C$23*$C$17+$C$24*$C$18</f>
        <v/>
      </c>
      <c r="D48" s="4" t="n">
        <v>36</v>
      </c>
      <c r="E48" t="inlineStr">
        <is>
          <t>operating_model.interest_expense.0</t>
        </is>
      </c>
      <c r="F48" t="inlineStr">
        <is>
          <t>money, to 0.01</t>
        </is>
      </c>
    </row>
    <row r="49">
      <c r="A49" t="inlineStr">
        <is>
          <t>Y1 profit before tax = EBIT - interest + interest income</t>
        </is>
      </c>
      <c r="B49" t="inlineStr">
        <is>
          <t>ebt_1</t>
        </is>
      </c>
      <c r="C49" s="4">
        <f>$C$31-$C$48+0</f>
        <v/>
      </c>
      <c r="D49" s="4" t="n">
        <v>44</v>
      </c>
      <c r="E49" t="inlineStr">
        <is>
          <t>operating_model.ebt.0</t>
        </is>
      </c>
      <c r="F49" t="inlineStr">
        <is>
          <t>money, to 0.01</t>
        </is>
      </c>
    </row>
    <row r="50">
      <c r="A50" t="inlineStr">
        <is>
          <t>Y1 tax</t>
        </is>
      </c>
      <c r="B50" t="inlineStr">
        <is>
          <t>tax_1</t>
        </is>
      </c>
      <c r="C50" s="4">
        <f>MAX($C$49,0)*$C$13</f>
        <v/>
      </c>
      <c r="D50" s="4" t="n">
        <v>11</v>
      </c>
      <c r="E50" t="inlineStr">
        <is>
          <t>operating_model.taxes.0</t>
        </is>
      </c>
      <c r="F50" t="inlineStr">
        <is>
          <t>money, to 0.01</t>
        </is>
      </c>
    </row>
    <row r="51">
      <c r="A51" t="inlineStr">
        <is>
          <t>Y1 net income</t>
        </is>
      </c>
      <c r="B51" t="inlineStr">
        <is>
          <t>ni_1</t>
        </is>
      </c>
      <c r="C51" s="4">
        <f>$C$49-$C$50</f>
        <v/>
      </c>
      <c r="D51" s="4" t="n">
        <v>33</v>
      </c>
      <c r="E51" t="inlineStr">
        <is>
          <t>operating_model.net_income.0</t>
        </is>
      </c>
      <c r="F51" t="inlineStr">
        <is>
          <t>money, to 0.01</t>
        </is>
      </c>
    </row>
    <row r="52">
      <c r="A52" t="inlineStr">
        <is>
          <t>Y1 levered free cash flow (before repaying debt)</t>
        </is>
      </c>
      <c r="B52" t="inlineStr">
        <is>
          <t>fcf_1</t>
        </is>
      </c>
      <c r="C52" s="4">
        <f>$C$51+$C$32-$C$34-$C$35</f>
        <v/>
      </c>
      <c r="D52" s="4" t="n">
        <v>33</v>
      </c>
      <c r="E52" t="inlineStr">
        <is>
          <t>cash_flow.levered_fcf.0</t>
        </is>
      </c>
      <c r="F52" t="inlineStr">
        <is>
          <t>money, to 0.01</t>
        </is>
      </c>
    </row>
    <row r="53">
      <c r="A53" t="inlineStr">
        <is>
          <t>Y1 term loan A takes half the cash available</t>
        </is>
      </c>
      <c r="B53" t="inlineStr">
        <is>
          <t>a_sweep_1</t>
        </is>
      </c>
      <c r="C53" s="4">
        <f>MIN($C$52*$C$19,$C$23)</f>
        <v/>
      </c>
      <c r="D53" s="4" t="n">
        <v>16.5</v>
      </c>
      <c r="E53" t="inlineStr">
        <is>
          <t>tranches.Term loan A.0.cash_sweep</t>
        </is>
      </c>
      <c r="F53" t="inlineStr">
        <is>
          <t>money, to 0.01</t>
        </is>
      </c>
    </row>
    <row r="54">
      <c r="A54" t="inlineStr">
        <is>
          <t>Y1 term loan B takes half the cash available, not half of what A left</t>
        </is>
      </c>
      <c r="B54" t="inlineStr">
        <is>
          <t>b_sweep_1</t>
        </is>
      </c>
      <c r="C54" s="4">
        <f>MIN($C$52*$C$19,$C$52-$C$53,$C$24)</f>
        <v/>
      </c>
      <c r="D54" s="4" t="n">
        <v>16.5</v>
      </c>
      <c r="E54" t="inlineStr">
        <is>
          <t>tranches.Term loan B.0.cash_sweep</t>
        </is>
      </c>
      <c r="F54" t="inlineStr">
        <is>
          <t>money, to 0.01</t>
        </is>
      </c>
    </row>
    <row r="55">
      <c r="A55" t="inlineStr">
        <is>
          <t>Y1 term loan A closing</t>
        </is>
      </c>
      <c r="B55" t="inlineStr">
        <is>
          <t>a_1</t>
        </is>
      </c>
      <c r="C55" s="4">
        <f>$C$23-$C$53</f>
        <v/>
      </c>
      <c r="D55" s="4" t="n">
        <v>183.5</v>
      </c>
      <c r="E55" t="inlineStr">
        <is>
          <t>tranches.Term loan A.0.ending_balance</t>
        </is>
      </c>
      <c r="F55" t="inlineStr">
        <is>
          <t>money, to 0.01</t>
        </is>
      </c>
    </row>
    <row r="56">
      <c r="A56" t="inlineStr">
        <is>
          <t>Y1 term loan B closing</t>
        </is>
      </c>
      <c r="B56" t="inlineStr">
        <is>
          <t>b_1</t>
        </is>
      </c>
      <c r="C56" s="4">
        <f>$C$24-$C$54</f>
        <v/>
      </c>
      <c r="D56" s="4" t="n">
        <v>183.5</v>
      </c>
      <c r="E56" t="inlineStr">
        <is>
          <t>tranches.Term loan B.0.ending_balance</t>
        </is>
      </c>
      <c r="F56" t="inlineStr">
        <is>
          <t>money, to 0.01</t>
        </is>
      </c>
    </row>
    <row r="57">
      <c r="A57" t="inlineStr">
        <is>
          <t>Y1 closing cash: the two halves take it all</t>
        </is>
      </c>
      <c r="B57" t="inlineStr">
        <is>
          <t>cash_1</t>
        </is>
      </c>
      <c r="C57" s="4">
        <f>$C$52-$C$53-$C$54</f>
        <v/>
      </c>
      <c r="D57" s="4" t="n">
        <v>0</v>
      </c>
      <c r="E57" t="inlineStr">
        <is>
          <t>debt_schedule.cash_balance.0</t>
        </is>
      </c>
      <c r="F57" t="inlineStr">
        <is>
          <t>money, to 0.01</t>
        </is>
      </c>
    </row>
    <row r="58">
      <c r="A58" t="inlineStr">
        <is>
          <t>Y2 interest expense</t>
        </is>
      </c>
      <c r="B58" t="inlineStr">
        <is>
          <t>int_2</t>
        </is>
      </c>
      <c r="C58" s="4">
        <f>$C$55*$C$17+$C$56*$C$18</f>
        <v/>
      </c>
      <c r="D58" s="4" t="n">
        <v>33.03</v>
      </c>
      <c r="E58" t="inlineStr">
        <is>
          <t>operating_model.interest_expense.1</t>
        </is>
      </c>
      <c r="F58" t="inlineStr">
        <is>
          <t>money, to 0.01</t>
        </is>
      </c>
    </row>
    <row r="59">
      <c r="A59" t="inlineStr">
        <is>
          <t>Y2 profit before tax = EBIT - interest + interest income</t>
        </is>
      </c>
      <c r="B59" t="inlineStr">
        <is>
          <t>ebt_2</t>
        </is>
      </c>
      <c r="C59" s="4">
        <f>$C$37-$C$58+0</f>
        <v/>
      </c>
      <c r="D59" s="4" t="n">
        <v>46.97</v>
      </c>
      <c r="E59" t="inlineStr">
        <is>
          <t>operating_model.ebt.1</t>
        </is>
      </c>
      <c r="F59" t="inlineStr">
        <is>
          <t>money, to 0.01</t>
        </is>
      </c>
    </row>
    <row r="60">
      <c r="A60" t="inlineStr">
        <is>
          <t>Y2 tax</t>
        </is>
      </c>
      <c r="B60" t="inlineStr">
        <is>
          <t>tax_2</t>
        </is>
      </c>
      <c r="C60" s="4">
        <f>MAX($C$59,0)*$C$13</f>
        <v/>
      </c>
      <c r="D60" s="4" t="n">
        <v>11.7425</v>
      </c>
      <c r="E60" t="inlineStr">
        <is>
          <t>operating_model.taxes.1</t>
        </is>
      </c>
      <c r="F60" t="inlineStr">
        <is>
          <t>money, to 0.01</t>
        </is>
      </c>
    </row>
    <row r="61">
      <c r="A61" t="inlineStr">
        <is>
          <t>Y2 net income</t>
        </is>
      </c>
      <c r="B61" t="inlineStr">
        <is>
          <t>ni_2</t>
        </is>
      </c>
      <c r="C61" s="4">
        <f>$C$59-$C$60</f>
        <v/>
      </c>
      <c r="D61" s="4" t="n">
        <v>35.2275</v>
      </c>
      <c r="E61" t="inlineStr">
        <is>
          <t>operating_model.net_income.1</t>
        </is>
      </c>
      <c r="F61" t="inlineStr">
        <is>
          <t>money, to 0.01</t>
        </is>
      </c>
    </row>
    <row r="62">
      <c r="A62" t="inlineStr">
        <is>
          <t>Y2 levered free cash flow (before repaying debt)</t>
        </is>
      </c>
      <c r="B62" t="inlineStr">
        <is>
          <t>fcf_2</t>
        </is>
      </c>
      <c r="C62" s="4">
        <f>$C$61+$C$38-$C$40-$C$41</f>
        <v/>
      </c>
      <c r="D62" s="4" t="n">
        <v>35.2275</v>
      </c>
      <c r="E62" t="inlineStr">
        <is>
          <t>cash_flow.levered_fcf.1</t>
        </is>
      </c>
      <c r="F62" t="inlineStr">
        <is>
          <t>money, to 0.01</t>
        </is>
      </c>
    </row>
    <row r="63">
      <c r="A63" t="inlineStr">
        <is>
          <t>Y2 term loan A takes half the cash available</t>
        </is>
      </c>
      <c r="B63" t="inlineStr">
        <is>
          <t>a_sweep_2</t>
        </is>
      </c>
      <c r="C63" s="4">
        <f>MIN($C$62*$C$19,$C$55)</f>
        <v/>
      </c>
      <c r="D63" s="4" t="n">
        <v>17.61375</v>
      </c>
      <c r="E63" t="inlineStr">
        <is>
          <t>tranches.Term loan A.1.cash_sweep</t>
        </is>
      </c>
      <c r="F63" t="inlineStr">
        <is>
          <t>money, to 0.01</t>
        </is>
      </c>
    </row>
    <row r="64">
      <c r="A64" t="inlineStr">
        <is>
          <t>Y2 term loan B takes half the cash available, not half of what A left</t>
        </is>
      </c>
      <c r="B64" t="inlineStr">
        <is>
          <t>b_sweep_2</t>
        </is>
      </c>
      <c r="C64" s="4">
        <f>MIN($C$62*$C$19,$C$62-$C$63,$C$56)</f>
        <v/>
      </c>
      <c r="D64" s="4" t="n">
        <v>17.61375</v>
      </c>
      <c r="E64" t="inlineStr">
        <is>
          <t>tranches.Term loan B.1.cash_sweep</t>
        </is>
      </c>
      <c r="F64" t="inlineStr">
        <is>
          <t>money, to 0.01</t>
        </is>
      </c>
    </row>
    <row r="65">
      <c r="A65" t="inlineStr">
        <is>
          <t>Y2 term loan A closing</t>
        </is>
      </c>
      <c r="B65" t="inlineStr">
        <is>
          <t>a_2</t>
        </is>
      </c>
      <c r="C65" s="4">
        <f>$C$55-$C$63</f>
        <v/>
      </c>
      <c r="D65" s="4" t="n">
        <v>165.88625</v>
      </c>
      <c r="E65" t="inlineStr">
        <is>
          <t>tranches.Term loan A.1.ending_balance</t>
        </is>
      </c>
      <c r="F65" t="inlineStr">
        <is>
          <t>money, to 0.01</t>
        </is>
      </c>
    </row>
    <row r="66">
      <c r="A66" t="inlineStr">
        <is>
          <t>Y2 term loan B closing</t>
        </is>
      </c>
      <c r="B66" t="inlineStr">
        <is>
          <t>b_2</t>
        </is>
      </c>
      <c r="C66" s="4">
        <f>$C$56-$C$64</f>
        <v/>
      </c>
      <c r="D66" s="4" t="n">
        <v>165.88625</v>
      </c>
      <c r="E66" t="inlineStr">
        <is>
          <t>tranches.Term loan B.1.ending_balance</t>
        </is>
      </c>
      <c r="F66" t="inlineStr">
        <is>
          <t>money, to 0.01</t>
        </is>
      </c>
    </row>
    <row r="67">
      <c r="A67" t="inlineStr">
        <is>
          <t>Y2 closing cash: the two halves take it all</t>
        </is>
      </c>
      <c r="B67" t="inlineStr">
        <is>
          <t>cash_2</t>
        </is>
      </c>
      <c r="C67" s="4">
        <f>$C$62-$C$63-$C$64</f>
        <v/>
      </c>
      <c r="D67" s="4" t="n">
        <v>0</v>
      </c>
      <c r="E67" t="inlineStr">
        <is>
          <t>debt_schedule.cash_balance.1</t>
        </is>
      </c>
      <c r="F67" t="inlineStr">
        <is>
          <t>money, to 0.01</t>
        </is>
      </c>
    </row>
    <row r="68">
      <c r="A68" t="inlineStr">
        <is>
          <t>Y3 interest expense</t>
        </is>
      </c>
      <c r="B68" t="inlineStr">
        <is>
          <t>int_3</t>
        </is>
      </c>
      <c r="C68" s="4">
        <f>$C$65*$C$17+$C$66*$C$18</f>
        <v/>
      </c>
      <c r="D68" s="4" t="n">
        <v>29.859525</v>
      </c>
      <c r="E68" t="inlineStr">
        <is>
          <t>operating_model.interest_expense.2</t>
        </is>
      </c>
      <c r="F68" t="inlineStr">
        <is>
          <t>money, to 0.01</t>
        </is>
      </c>
    </row>
    <row r="69">
      <c r="A69" t="inlineStr">
        <is>
          <t>Y3 profit before tax = EBIT - interest + interest income</t>
        </is>
      </c>
      <c r="B69" t="inlineStr">
        <is>
          <t>ebt_3</t>
        </is>
      </c>
      <c r="C69" s="4">
        <f>$C$43-$C$68+0</f>
        <v/>
      </c>
      <c r="D69" s="4" t="n">
        <v>50.140475</v>
      </c>
      <c r="E69" t="inlineStr">
        <is>
          <t>operating_model.ebt.2</t>
        </is>
      </c>
      <c r="F69" t="inlineStr">
        <is>
          <t>money, to 0.01</t>
        </is>
      </c>
    </row>
    <row r="70">
      <c r="A70" t="inlineStr">
        <is>
          <t>Y3 tax</t>
        </is>
      </c>
      <c r="B70" t="inlineStr">
        <is>
          <t>tax_3</t>
        </is>
      </c>
      <c r="C70" s="4">
        <f>MAX($C$69,0)*$C$13</f>
        <v/>
      </c>
      <c r="D70" s="4" t="n">
        <v>12.53511875</v>
      </c>
      <c r="E70" t="inlineStr">
        <is>
          <t>operating_model.taxes.2</t>
        </is>
      </c>
      <c r="F70" t="inlineStr">
        <is>
          <t>money, to 0.01</t>
        </is>
      </c>
    </row>
    <row r="71">
      <c r="A71" t="inlineStr">
        <is>
          <t>Y3 net income</t>
        </is>
      </c>
      <c r="B71" t="inlineStr">
        <is>
          <t>ni_3</t>
        </is>
      </c>
      <c r="C71" s="4">
        <f>$C$69-$C$70</f>
        <v/>
      </c>
      <c r="D71" s="4" t="n">
        <v>37.60535625</v>
      </c>
      <c r="E71" t="inlineStr">
        <is>
          <t>operating_model.net_income.2</t>
        </is>
      </c>
      <c r="F71" t="inlineStr">
        <is>
          <t>money, to 0.01</t>
        </is>
      </c>
    </row>
    <row r="72">
      <c r="A72" t="inlineStr">
        <is>
          <t>Y3 levered free cash flow (before repaying debt)</t>
        </is>
      </c>
      <c r="B72" t="inlineStr">
        <is>
          <t>fcf_3</t>
        </is>
      </c>
      <c r="C72" s="4">
        <f>$C$71+$C$44-$C$46-$C$47</f>
        <v/>
      </c>
      <c r="D72" s="4" t="n">
        <v>37.60535625</v>
      </c>
      <c r="E72" t="inlineStr">
        <is>
          <t>cash_flow.levered_fcf.2</t>
        </is>
      </c>
      <c r="F72" t="inlineStr">
        <is>
          <t>money, to 0.01</t>
        </is>
      </c>
    </row>
    <row r="73">
      <c r="A73" t="inlineStr">
        <is>
          <t>Y3 term loan A takes half the cash available</t>
        </is>
      </c>
      <c r="B73" t="inlineStr">
        <is>
          <t>a_sweep_3</t>
        </is>
      </c>
      <c r="C73" s="4">
        <f>MIN($C$72*$C$19,$C$65)</f>
        <v/>
      </c>
      <c r="D73" s="4" t="n">
        <v>18.802678125</v>
      </c>
      <c r="E73" t="inlineStr">
        <is>
          <t>tranches.Term loan A.2.cash_sweep</t>
        </is>
      </c>
      <c r="F73" t="inlineStr">
        <is>
          <t>money, to 0.01</t>
        </is>
      </c>
    </row>
    <row r="74">
      <c r="A74" t="inlineStr">
        <is>
          <t>Y3 term loan B takes half the cash available, not half of what A left</t>
        </is>
      </c>
      <c r="B74" t="inlineStr">
        <is>
          <t>b_sweep_3</t>
        </is>
      </c>
      <c r="C74" s="4">
        <f>MIN($C$72*$C$19,$C$72-$C$73,$C$66)</f>
        <v/>
      </c>
      <c r="D74" s="4" t="n">
        <v>18.802678125</v>
      </c>
      <c r="E74" t="inlineStr">
        <is>
          <t>tranches.Term loan B.2.cash_sweep</t>
        </is>
      </c>
      <c r="F74" t="inlineStr">
        <is>
          <t>money, to 0.01</t>
        </is>
      </c>
    </row>
    <row r="75">
      <c r="A75" t="inlineStr">
        <is>
          <t>Y3 term loan A closing</t>
        </is>
      </c>
      <c r="B75" t="inlineStr">
        <is>
          <t>a_3</t>
        </is>
      </c>
      <c r="C75" s="4">
        <f>$C$65-$C$73</f>
        <v/>
      </c>
      <c r="D75" s="4" t="n">
        <v>147.083571875</v>
      </c>
      <c r="E75" t="inlineStr">
        <is>
          <t>tranches.Term loan A.2.ending_balance</t>
        </is>
      </c>
      <c r="F75" t="inlineStr">
        <is>
          <t>money, to 0.01</t>
        </is>
      </c>
    </row>
    <row r="76">
      <c r="A76" t="inlineStr">
        <is>
          <t>Y3 term loan B closing</t>
        </is>
      </c>
      <c r="B76" t="inlineStr">
        <is>
          <t>b_3</t>
        </is>
      </c>
      <c r="C76" s="4">
        <f>$C$66-$C$74</f>
        <v/>
      </c>
      <c r="D76" s="4" t="n">
        <v>147.083571875</v>
      </c>
      <c r="E76" t="inlineStr">
        <is>
          <t>tranches.Term loan B.2.ending_balance</t>
        </is>
      </c>
      <c r="F76" t="inlineStr">
        <is>
          <t>money, to 0.01</t>
        </is>
      </c>
    </row>
    <row r="77">
      <c r="A77" t="inlineStr">
        <is>
          <t>Y3 closing cash: the two halves take it all</t>
        </is>
      </c>
      <c r="B77" t="inlineStr">
        <is>
          <t>cash_3</t>
        </is>
      </c>
      <c r="C77" s="4">
        <f>$C$72-$C$73-$C$74</f>
        <v/>
      </c>
      <c r="D77" s="4" t="n">
        <v>0</v>
      </c>
      <c r="E77" t="inlineStr">
        <is>
          <t>debt_schedule.cash_balance.2</t>
        </is>
      </c>
      <c r="F77" t="inlineStr">
        <is>
          <t>money, to 0.01</t>
        </is>
      </c>
    </row>
    <row r="78">
      <c r="A78" t="inlineStr">
        <is>
          <t>Net debt at exit (debt - cash + lease liability)</t>
        </is>
      </c>
      <c r="B78" t="inlineStr">
        <is>
          <t>net_debt_exit</t>
        </is>
      </c>
      <c r="C78" s="4">
        <f>$C$75+$C$76</f>
        <v/>
      </c>
      <c r="D78" s="4" t="n">
        <v>294.16714375</v>
      </c>
      <c r="E78" t="inlineStr">
        <is>
          <t>returns.net_debt_at_exit</t>
        </is>
      </c>
      <c r="F78" t="inlineStr">
        <is>
          <t>money, to 0.01</t>
        </is>
      </c>
    </row>
    <row r="79">
      <c r="A79" t="inlineStr">
        <is>
          <t>Exit EV = (final-year EBITDA + lease add-back) x exit multiple</t>
        </is>
      </c>
      <c r="B79" t="inlineStr">
        <is>
          <t>exit_ev</t>
        </is>
      </c>
      <c r="C79" s="4">
        <f>($C$45+0)*$C$15</f>
        <v/>
      </c>
      <c r="D79" s="4" t="n">
        <v>800</v>
      </c>
      <c r="E79" t="inlineStr">
        <is>
          <t>returns.exit_ev</t>
        </is>
      </c>
      <c r="F79" t="inlineStr">
        <is>
          <t>money, to 0.01</t>
        </is>
      </c>
    </row>
    <row r="80">
      <c r="A80" t="inlineStr">
        <is>
          <t>Exit equity = exit EV - net debt</t>
        </is>
      </c>
      <c r="B80" t="inlineStr">
        <is>
          <t>exit_equity</t>
        </is>
      </c>
      <c r="C80" s="4">
        <f>$C$79-$C$78</f>
        <v/>
      </c>
      <c r="D80" s="4" t="n">
        <v>505.83285625</v>
      </c>
      <c r="E80" t="inlineStr">
        <is>
          <t>returns.net_exit_equity</t>
        </is>
      </c>
      <c r="F80" t="inlineStr">
        <is>
          <t>money, to 0.01</t>
        </is>
      </c>
    </row>
    <row r="81">
      <c r="A81" t="inlineStr">
        <is>
          <t>MOIC = exit equity / entry equity</t>
        </is>
      </c>
      <c r="B81" t="inlineStr">
        <is>
          <t>moic</t>
        </is>
      </c>
      <c r="C81" s="5">
        <f>$C$80/$C$28</f>
        <v/>
      </c>
      <c r="D81" s="5" t="n">
        <v>1.264582140625</v>
      </c>
      <c r="E81" t="inlineStr">
        <is>
          <t>returns.moic</t>
        </is>
      </c>
      <c r="F81" t="inlineStr">
        <is>
          <t>multiple, to 0.01</t>
        </is>
      </c>
    </row>
    <row r="82">
      <c r="A82" t="inlineStr">
        <is>
          <t>IRR = MOIC ^ (1 / years) - 1</t>
        </is>
      </c>
      <c r="B82" t="inlineStr">
        <is>
          <t>irr</t>
        </is>
      </c>
      <c r="C82" s="6">
        <f>$C$81^(1/$C$16)-1</f>
        <v/>
      </c>
      <c r="D82" s="6" t="n">
        <v>0.08138999713112649</v>
      </c>
      <c r="E82" t="inlineStr">
        <is>
          <t>returns.irr</t>
        </is>
      </c>
      <c r="F82" t="inlineStr">
        <is>
          <t>per cent, to 0.01</t>
        </is>
      </c>
    </row>
    <row r="84">
      <c r="A84" s="3" t="inlineStr">
        <is>
          <t>Headline answers, typed by hand</t>
        </is>
      </c>
    </row>
    <row r="85">
      <c r="A85" t="inlineStr">
        <is>
          <t>Sponsor equity = EV + costs + minimum cash - debt - lease liability</t>
        </is>
      </c>
      <c r="B85" t="inlineStr">
        <is>
          <t>equity</t>
        </is>
      </c>
      <c r="D85" s="4" t="n">
        <v>400</v>
      </c>
    </row>
    <row r="86">
      <c r="A86" t="inlineStr">
        <is>
          <t>Exit equity = exit EV - net debt</t>
        </is>
      </c>
      <c r="B86" t="inlineStr">
        <is>
          <t>exit_equity</t>
        </is>
      </c>
      <c r="D86" s="4" t="n">
        <v>505.83285625</v>
      </c>
    </row>
  </sheetData>
  <mergeCells count="1">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variater.com</dc:creator>
  <dcterms:created xsi:type="dcterms:W3CDTF">2026-10-06T00:00:00Z</dcterms:created>
  <dcterms:modified xsi:type="dcterms:W3CDTF">2026-10-06T04:09:13Z</dcterms:modified>
</cp:coreProperties>
</file>